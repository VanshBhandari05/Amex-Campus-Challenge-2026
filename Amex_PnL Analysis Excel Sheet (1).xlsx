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ssumptions" sheetId="1" state="visible" r:id="rId3"/>
    <sheet name="2_Baseline_PnL" sheetId="2" state="visible" r:id="rId4"/>
    <sheet name="3_Benefit" sheetId="3" state="visible" r:id="rId5"/>
    <sheet name="3B_Reallocation" sheetId="4" state="visible" r:id="rId6"/>
    <sheet name="4_Scenarios" sheetId="5" state="visible" r:id="rId7"/>
    <sheet name="5_ROI_NPV" sheetId="6" state="visible" r:id="rId8"/>
    <sheet name="6_Sensitivity" sheetId="7" state="visible" r:id="rId9"/>
    <sheet name="7_Output_Summary" sheetId="8" state="visible" r:id="rId10"/>
  </sheets>
  <definedNames>
    <definedName function="false" hidden="false" name="acc_base" vbProcedure="false">4_Scenarios!$K$9</definedName>
    <definedName function="false" hidden="false" name="acc_elasticity" vbProcedure="false">4_Scenarios!$K$10</definedName>
    <definedName function="false" hidden="false" name="acq_rate_base" vbProcedure="false">5_ROI_NPV!$L$7</definedName>
    <definedName function="false" hidden="false" name="assume_accept" vbProcedure="false">7_Output_Summary!$C$54</definedName>
    <definedName function="false" hidden="false" name="assume_acq" vbProcedure="false">7_Output_Summary!$C$53</definedName>
    <definedName function="false" hidden="false" name="assume_attr" vbProcedure="false">7_Output_Summary!$C$52</definedName>
    <definedName function="false" hidden="false" name="assume_mr" vbProcedure="false">7_Output_Summary!$C$55</definedName>
    <definedName function="false" hidden="false" name="assume_spend" vbProcedure="false">7_Output_Summary!$C$51</definedName>
    <definedName function="false" hidden="false" name="assume_wacc" vbProcedure="false">7_Output_Summary!$C$56</definedName>
    <definedName function="false" hidden="false" name="attain_baseline" vbProcedure="false">4_Scenarios!$K$4</definedName>
    <definedName function="false" hidden="false" name="attrition" vbProcedure="false">1_Assumptions!$D$17</definedName>
    <definedName function="false" hidden="false" name="benefit_cost_total" vbProcedure="false">7_Output_Summary!$C$16</definedName>
    <definedName function="false" hidden="false" name="benefit_face_summary" vbProcedure="false">7_Output_Summary!$C$18</definedName>
    <definedName function="false" hidden="false" name="benefit_headroom" vbProcedure="false">3_Benefit!$D$40</definedName>
    <definedName function="false" hidden="false" name="benefit_headroom_summary" vbProcedure="false">7_Output_Summary!$C$17</definedName>
    <definedName function="false" hidden="false" name="benefit_leverage" vbProcedure="false">3_Benefit!$D$41</definedName>
    <definedName function="false" hidden="false" name="benefit_leverage_summary" vbProcedure="false">7_Output_Summary!$C$19</definedName>
    <definedName function="false" hidden="false" name="bizdev_rate" vbProcedure="false">2_Baseline_PnL!$M$5</definedName>
    <definedName function="false" hidden="false" name="bonus_renewal" vbProcedure="false">1_Assumptions!$D$20</definedName>
    <definedName function="false" hidden="false" name="bonus_welcome" vbProcedure="false">1_Assumptions!$D$19</definedName>
    <definedName function="false" hidden="false" name="breakeven_summary" vbProcedure="false">7_Output_Summary!$C$38</definedName>
    <definedName function="false" hidden="false" name="cac" vbProcedure="false">2_Baseline_PnL!$M$9</definedName>
    <definedName function="false" hidden="false" name="cac_life" vbProcedure="false">2_Baseline_PnL!$M$10</definedName>
    <definedName function="false" hidden="false" name="cards" vbProcedure="false">7_Output_Summary!$C$5</definedName>
    <definedName function="false" hidden="false" name="cards_incr_y1" vbProcedure="false">5_ROI_NPV!$E$9</definedName>
    <definedName function="false" hidden="false" name="cards_y0" vbProcedure="false">5_ROI_NPV!$D$48</definedName>
    <definedName function="false" hidden="false" name="cards_y0_out" vbProcedure="false">7_Output_Summary!$C$24</definedName>
    <definedName function="false" hidden="false" name="cards_y1" vbProcedure="false">5_ROI_NPV!$E$7</definedName>
    <definedName function="false" hidden="false" name="cards_y5" vbProcedure="false">5_ROI_NPV!$D$49</definedName>
    <definedName function="false" hidden="false" name="cards_y5_cf" vbProcedure="false">5_ROI_NPV!$D$50</definedName>
    <definedName function="false" hidden="false" name="cards_y5_cf_out" vbProcedure="false">7_Output_Summary!$C$26</definedName>
    <definedName function="false" hidden="false" name="cards_y5_out" vbProcedure="false">7_Output_Summary!$C$25</definedName>
    <definedName function="false" hidden="false" name="card_base" vbProcedure="false">1_Assumptions!$D$10</definedName>
    <definedName function="false" hidden="false" name="cl_rate" vbProcedure="false">2_Baseline_PnL!$M$6</definedName>
    <definedName function="false" hidden="false" name="cms_rate" vbProcedure="false">2_Baseline_PnL!$M$13</definedName>
    <definedName function="false" hidden="false" name="contrib_incr" vbProcedure="false">5_ROI_NPV!$D$57</definedName>
    <definedName function="false" hidden="false" name="contrib_post" vbProcedure="false">5_ROI_NPV!$D$56</definedName>
    <definedName function="false" hidden="false" name="contrib_pre" vbProcedure="false">5_ROI_NPV!$D$55</definedName>
    <definedName function="false" hidden="false" name="contrib_pre_summary" vbProcedure="false">7_Output_Summary!$C$27</definedName>
    <definedName function="false" hidden="false" name="cost_ceiling" vbProcedure="false">1_Assumptions!$D$18</definedName>
    <definedName function="false" hidden="false" name="delta_breakeven" vbProcedure="false">5_ROI_NPV!$D$59</definedName>
    <definedName function="false" hidden="false" name="delta_gap" vbProcedure="false">5_ROI_NPV!$D$60</definedName>
    <definedName function="false" hidden="false" name="discount_rate_cof" vbProcedure="false">1_Assumptions!$D$11</definedName>
    <definedName function="false" hidden="false" name="disc_rate" vbProcedure="false">2_Baseline_PnL!$M$3</definedName>
    <definedName function="false" hidden="false" name="emi_margin_net" vbProcedure="false">1_Assumptions!$D$9</definedName>
    <definedName function="false" hidden="false" name="emi_penetration" vbProcedure="false">1_Assumptions!$D$8</definedName>
    <definedName function="false" hidden="false" name="fcf_cumul_summary" vbProcedure="false">7_Output_Summary!$C$30</definedName>
    <definedName function="false" hidden="false" name="fcf_percard_summary" vbProcedure="false">7_Output_Summary!$C$29</definedName>
    <definedName function="false" hidden="false" name="fee_annual" vbProcedure="false">1_Assumptions!$D$3</definedName>
    <definedName function="false" hidden="false" name="fee_baseline" vbProcedure="false">4_Scenarios!$K$3</definedName>
    <definedName function="false" hidden="false" name="fee_delta" vbProcedure="false">7_Output_Summary!$C$8</definedName>
    <definedName function="false" hidden="false" name="fee_gain_summary" vbProcedure="false">7_Output_Summary!$C$28</definedName>
    <definedName function="false" hidden="false" name="fee_gross" vbProcedure="false">1_Assumptions!$D$5</definedName>
    <definedName function="false" hidden="false" name="fee_post" vbProcedure="false">7_Output_Summary!$C$7</definedName>
    <definedName function="false" hidden="false" name="fee_pre" vbProcedure="false">7_Output_Summary!$C$6</definedName>
    <definedName function="false" hidden="false" name="float_days" vbProcedure="false">2_Baseline_PnL!$M$8</definedName>
    <definedName function="false" hidden="false" name="fraud_rate" vbProcedure="false">2_Baseline_PnL!$M$7</definedName>
    <definedName function="false" hidden="false" name="fx_markup" vbProcedure="false">2_Baseline_PnL!$M$4</definedName>
    <definedName function="false" hidden="false" name="gap_summary" vbProcedure="false">7_Output_Summary!$C$39</definedName>
    <definedName function="false" hidden="false" name="gst_rate" vbProcedure="false">1_Assumptions!$D$4</definedName>
    <definedName function="false" hidden="false" name="invest_y0" vbProcedure="false">5_ROI_NPV!$D$58</definedName>
    <definedName function="false" hidden="false" name="inv_app_build" vbProcedure="false">5_ROI_NPV!$L$3</definedName>
    <definedName function="false" hidden="false" name="inv_launch_mkt" vbProcedure="false">5_ROI_NPV!$L$4</definedName>
    <definedName function="false" hidden="false" name="inv_ongoing_mkt" vbProcedure="false">5_ROI_NPV!$L$6</definedName>
    <definedName function="false" hidden="false" name="inv_total_y0" vbProcedure="false">5_ROI_NPV!$L$5</definedName>
    <definedName function="false" hidden="false" name="inv_y0_summary" vbProcedure="false">7_Output_Summary!$C$23</definedName>
    <definedName function="false" hidden="false" name="irr_base" vbProcedure="false">5_ROI_NPV!$D$52</definedName>
    <definedName function="false" hidden="false" name="irr_summary" vbProcedure="false">7_Output_Summary!$C$35</definedName>
    <definedName function="false" hidden="false" name="l1_cost_retained" vbProcedure="false">3_Benefit!$D$42</definedName>
    <definedName function="false" hidden="false" name="l1_cost_summary" vbProcedure="false">7_Output_Summary!$C$13</definedName>
    <definedName function="false" hidden="false" name="l1_reclaim" vbProcedure="false">4_Scenarios!$K$8</definedName>
    <definedName function="false" hidden="false" name="l2_cost" vbProcedure="false">3_Benefit!$D$36</definedName>
    <definedName function="false" hidden="false" name="l2_cost_summary" vbProcedure="false">7_Output_Summary!$C$14</definedName>
    <definedName function="false" hidden="false" name="l3_cost" vbProcedure="false">3_Benefit!$D$37</definedName>
    <definedName function="false" hidden="false" name="l3_cost_summary" vbProcedure="false">7_Output_Summary!$C$15</definedName>
    <definedName function="false" hidden="false" name="ladder_redeem" vbProcedure="false">4_Scenarios!$K$7</definedName>
    <definedName function="false" hidden="false" name="ladder_unit" vbProcedure="false">4_Scenarios!$K$6</definedName>
    <definedName function="false" hidden="false" name="layer1_cost" vbProcedure="false">2_Baseline_PnL!$M$12</definedName>
    <definedName function="false" hidden="false" name="mix_dining" vbProcedure="false">1_Assumptions!$F$6</definedName>
    <definedName function="false" hidden="false" name="mix_intl" vbProcedure="false">1_Assumptions!$D$6</definedName>
    <definedName function="false" hidden="false" name="mix_other" vbProcedure="false">1_Assumptions!$G$6</definedName>
    <definedName function="false" hidden="false" name="mix_travel" vbProcedure="false">1_Assumptions!$E$6</definedName>
    <definedName function="false" hidden="false" name="mr_cpp" vbProcedure="false">1_Assumptions!$D$14</definedName>
    <definedName function="false" hidden="false" name="mr_multiplier" vbProcedure="false">1_Assumptions!$D$15</definedName>
    <definedName function="false" hidden="false" name="mult_base" vbProcedure="false">5_ROI_NPV!$D$53</definedName>
    <definedName function="false" hidden="false" name="mult_summary" vbProcedure="false">7_Output_Summary!$C$36</definedName>
    <definedName function="false" hidden="false" name="new_benefit_cost" vbProcedure="false">3_Benefit!$D$38</definedName>
    <definedName function="false" hidden="false" name="new_benefit_face" vbProcedure="false">3_Benefit!$C$38</definedName>
    <definedName function="false" hidden="false" name="new_card_pct" vbProcedure="false">2_Baseline_PnL!$M$11</definedName>
    <definedName function="false" hidden="false" name="npv_base" vbProcedure="false">5_ROI_NPV!$D$51</definedName>
    <definedName function="false" hidden="false" name="npv_summary" vbProcedure="false">7_Output_Summary!$C$34</definedName>
    <definedName function="false" hidden="false" name="payback_base" vbProcedure="false">5_ROI_NPV!$D$54</definedName>
    <definedName function="false" hidden="false" name="payback_summary" vbProcedure="false">7_Output_Summary!$C$37</definedName>
    <definedName function="false" hidden="false" name="redemption_rate" vbProcedure="false">1_Assumptions!$D$16</definedName>
    <definedName function="false" hidden="false" name="risk_premium" vbProcedure="false">1_Assumptions!$D$12</definedName>
    <definedName function="false" hidden="false" name="scenario" vbProcedure="false">1_Assumptions!$D$7</definedName>
    <definedName function="false" hidden="false" name="scen_acq_uplift" vbProcedure="false">4_Scenarios!$G$49</definedName>
    <definedName function="false" hidden="false" name="scen_attrition" vbProcedure="false">4_Scenarios!$G$48</definedName>
    <definedName function="false" hidden="false" name="scen_benefit_cost" vbProcedure="false">4_Scenarios!$G$47</definedName>
    <definedName function="false" hidden="false" name="scen_contrib_delta" vbProcedure="false">4_Scenarios!$G$45</definedName>
    <definedName function="false" hidden="false" name="scen_contrib_percard" vbProcedure="false">4_Scenarios!$G$44</definedName>
    <definedName function="false" hidden="false" name="scen_contrib_pre" vbProcedure="false">4_Scenarios!$G$46</definedName>
    <definedName function="false" hidden="false" name="scen_fee_acceptance" vbProcedure="false">4_Scenarios!$G$50</definedName>
    <definedName function="false" hidden="false" name="scen_spend_uplift" vbProcedure="false">4_Scenarios!$G$51</definedName>
    <definedName function="false" hidden="false" name="spend_base" vbProcedure="false">2_Baseline_PnL!$I$5</definedName>
    <definedName function="false" hidden="false" name="spend_blended" vbProcedure="false">7_Output_Summary!$C$9</definedName>
    <definedName function="false" hidden="false" name="util_baseline" vbProcedure="false">4_Scenarios!$K$5</definedName>
    <definedName function="false" hidden="false" name="wacc" vbProcedure="false">1_Assumptions!$D$13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<sst xmlns="http://schemas.openxmlformats.org/spreadsheetml/2006/main" count="1089" uniqueCount="760">
  <si>
    <t xml:space="preserve">PLATINUM 365 — ASSUMPTIONS REGISTRY</t>
  </si>
  <si>
    <t xml:space="preserve">Column C = model reference ID. See Tab notes (col F/6) for sourcing of each figure.</t>
  </si>
  <si>
    <t xml:space="preserve">CONTROL BLOCK</t>
  </si>
  <si>
    <t xml:space="preserve">Annual fee (ex-GST)</t>
  </si>
  <si>
    <t xml:space="preserve">A1</t>
  </si>
  <si>
    <t xml:space="preserve">INPUT</t>
  </si>
  <si>
    <t xml:space="preserve">Central case; PS S3 states ₹60K — Tab 6 justifies ₹66K</t>
  </si>
  <si>
    <t xml:space="preserve">GST on fee</t>
  </si>
  <si>
    <t xml:space="preserve">A2</t>
  </si>
  <si>
    <t xml:space="preserve">FIXED</t>
  </si>
  <si>
    <t xml:space="preserve">Statute, pass-through — not issuer revenue</t>
  </si>
  <si>
    <t xml:space="preserve">Gross billed to member</t>
  </si>
  <si>
    <t xml:space="preserve">A3</t>
  </si>
  <si>
    <t xml:space="preserve">FORMULA</t>
  </si>
  <si>
    <t xml:space="preserve">Formula</t>
  </si>
  <si>
    <t xml:space="preserve">Spend mix (intl/trv/din/oth)</t>
  </si>
  <si>
    <t xml:space="preserve">B5</t>
  </si>
  <si>
    <t xml:space="preserve">Scenario selector</t>
  </si>
  <si>
    <t xml:space="preserve">—</t>
  </si>
  <si>
    <t xml:space="preserve">Base</t>
  </si>
  <si>
    <t xml:space="preserve">Drives Tabs 4–6</t>
  </si>
  <si>
    <t xml:space="preserve">EMI penetration %</t>
  </si>
  <si>
    <t xml:space="preserve">Of ≥₹19L segments only</t>
  </si>
  <si>
    <t xml:space="preserve">EMI net margin %</t>
  </si>
  <si>
    <t xml:space="preserve">C6</t>
  </si>
  <si>
    <t xml:space="preserve">Charge card — bounded book, not 8.1%</t>
  </si>
  <si>
    <t xml:space="preserve">Card base size</t>
  </si>
  <si>
    <t xml:space="preserve">Bottom-up 38.5K / top-down 30–55K</t>
  </si>
  <si>
    <t xml:space="preserve">Cost of funds</t>
  </si>
  <si>
    <t xml:space="preserve">D12</t>
  </si>
  <si>
    <t xml:space="preserve">AEBC business ratios</t>
  </si>
  <si>
    <t xml:space="preserve">Risk premium</t>
  </si>
  <si>
    <t xml:space="preserve">Amex-specific</t>
  </si>
  <si>
    <t xml:space="preserve">Discount rate (WACC)</t>
  </si>
  <si>
    <t xml:space="preserve">Formula — used in Tab 5 NPV</t>
  </si>
  <si>
    <t xml:space="preserve">MR cost per point</t>
  </si>
  <si>
    <t xml:space="preserve">D1</t>
  </si>
  <si>
    <t xml:space="preserve">Derived, AEBC Note 12(p); range ₹0.21–0.33</t>
  </si>
  <si>
    <t xml:space="preserve">MR blended multiplier</t>
  </si>
  <si>
    <t xml:space="preserve">B4</t>
  </si>
  <si>
    <t xml:space="preserve">From A5 + spend mix</t>
  </si>
  <si>
    <t xml:space="preserve">Ultimate redemption rate</t>
  </si>
  <si>
    <t xml:space="preserve">D4</t>
  </si>
  <si>
    <t xml:space="preserve">AR2025</t>
  </si>
  <si>
    <t xml:space="preserve">Baseline attrition</t>
  </si>
  <si>
    <t xml:space="preserve">Pre-redesign annual churn</t>
  </si>
  <si>
    <t xml:space="preserve">Incremental benefit ceiling</t>
  </si>
  <si>
    <t xml:space="preserve">A12</t>
  </si>
  <si>
    <t xml:space="preserve">PS S4 constraint 2 — HARD</t>
  </si>
  <si>
    <t xml:space="preserve">Welcome bonus (annual)</t>
  </si>
  <si>
    <t xml:space="preserve">A13</t>
  </si>
  <si>
    <t xml:space="preserve">Renewal bonus (annual)</t>
  </si>
  <si>
    <t xml:space="preserve">A14</t>
  </si>
  <si>
    <t xml:space="preserve">ID</t>
  </si>
  <si>
    <t xml:space="preserve">Category</t>
  </si>
  <si>
    <t xml:space="preserve">Parameter</t>
  </si>
  <si>
    <t xml:space="preserve">Value</t>
  </si>
  <si>
    <t xml:space="preserve">Unit</t>
  </si>
  <si>
    <t xml:space="preserve">Source</t>
  </si>
  <si>
    <t xml:space="preserve">Conf</t>
  </si>
  <si>
    <t xml:space="preserve">Note</t>
  </si>
  <si>
    <t xml:space="preserve">— PART A — CARD SPECIFICATION —</t>
  </si>
  <si>
    <t xml:space="preserve">Card spec</t>
  </si>
  <si>
    <t xml:space="preserve">₹60,000 (range ₹50–70K)</t>
  </si>
  <si>
    <t xml:space="preserve">₹</t>
  </si>
  <si>
    <t xml:space="preserve">PS S3</t>
  </si>
  <si>
    <t xml:space="preserve">H</t>
  </si>
  <si>
    <t xml:space="preserve">Central case runs ₹66K — see Tab 6</t>
  </si>
  <si>
    <t xml:space="preserve">GST</t>
  </si>
  <si>
    <t xml:space="preserve">18%, pass-through</t>
  </si>
  <si>
    <t xml:space="preserve">%</t>
  </si>
  <si>
    <t xml:space="preserve">Statute</t>
  </si>
  <si>
    <t xml:space="preserve">Not issuer revenue</t>
  </si>
  <si>
    <t xml:space="preserve">Gross billed to customer</t>
  </si>
  <si>
    <t xml:space="preserve">₹70,800 @A1; ₹77,880 @₹66K</t>
  </si>
  <si>
    <t xml:space="preserve">A1×1.18</t>
  </si>
  <si>
    <t xml:space="preserve">M</t>
  </si>
  <si>
    <t xml:space="preserve">A4</t>
  </si>
  <si>
    <t xml:space="preserve">Base earn</t>
  </si>
  <si>
    <t xml:space="preserve">1 pt / ₹50</t>
  </si>
  <si>
    <t xml:space="preserve">pts</t>
  </si>
  <si>
    <t xml:space="preserve">A5</t>
  </si>
  <si>
    <t xml:space="preserve">Multipliers</t>
  </si>
  <si>
    <t xml:space="preserve">5x intl, 3x travel portal, 2x dining &gt;₹2K</t>
  </si>
  <si>
    <t xml:space="preserve">×</t>
  </si>
  <si>
    <t xml:space="preserve">A6</t>
  </si>
  <si>
    <t xml:space="preserve">Point face value</t>
  </si>
  <si>
    <t xml:space="preserve">₹0.50 transfer / ₹0.25 stmt credit</t>
  </si>
  <si>
    <t xml:space="preserve">A7</t>
  </si>
  <si>
    <t xml:space="preserve">Welcome bonus</t>
  </si>
  <si>
    <t xml:space="preserve">25,000 pts</t>
  </si>
  <si>
    <t xml:space="preserve">Amortised 5yr</t>
  </si>
  <si>
    <t xml:space="preserve">A8</t>
  </si>
  <si>
    <t xml:space="preserve">Renewal bonus</t>
  </si>
  <si>
    <t xml:space="preserve">10,000 pts</t>
  </si>
  <si>
    <t xml:space="preserve">A9</t>
  </si>
  <si>
    <t xml:space="preserve">Milestone threshold</t>
  </si>
  <si>
    <t xml:space="preserve">₹19,00,000</t>
  </si>
  <si>
    <t xml:space="preserve">Anchors blended mean</t>
  </si>
  <si>
    <t xml:space="preserve">A10</t>
  </si>
  <si>
    <t xml:space="preserve">Domestic lounge</t>
  </si>
  <si>
    <t xml:space="preserve">8 visits/yr</t>
  </si>
  <si>
    <t xml:space="preserve">visits</t>
  </si>
  <si>
    <t xml:space="preserve">A11</t>
  </si>
  <si>
    <t xml:space="preserve">Segment income floor</t>
  </si>
  <si>
    <t xml:space="preserve">₹25L household</t>
  </si>
  <si>
    <t xml:space="preserve">PS S4</t>
  </si>
  <si>
    <t xml:space="preserve">≤₹20,000/card/yr</t>
  </si>
  <si>
    <t xml:space="preserve">HARD CONSTRAINT</t>
  </si>
  <si>
    <t xml:space="preserve">— PART B — SPEND DISTRIBUTION —</t>
  </si>
  <si>
    <t xml:space="preserve">B1</t>
  </si>
  <si>
    <t xml:space="preserve">Spend</t>
  </si>
  <si>
    <t xml:space="preserve">Blended mean spend</t>
  </si>
  <si>
    <t xml:space="preserve">₹19.0L</t>
  </si>
  <si>
    <t xml:space="preserve">Anchored to A9</t>
  </si>
  <si>
    <t xml:space="preserve">A</t>
  </si>
  <si>
    <t xml:space="preserve">B2</t>
  </si>
  <si>
    <t xml:space="preserve">Distribution</t>
  </si>
  <si>
    <t xml:space="preserve">8/13/19/28/45L @ 18/27/30/17/8%</t>
  </si>
  <si>
    <t xml:space="preserve">₹/%</t>
  </si>
  <si>
    <t xml:space="preserve">Derived</t>
  </si>
  <si>
    <t xml:space="preserve">B3</t>
  </si>
  <si>
    <t xml:space="preserve">Milestone attainment</t>
  </si>
  <si>
    <t xml:space="preserve">55%</t>
  </si>
  <si>
    <t xml:space="preserve">From B2</t>
  </si>
  <si>
    <t xml:space="preserve">Blended earn multiplier</t>
  </si>
  <si>
    <t xml:space="preserve">1.90×</t>
  </si>
  <si>
    <t xml:space="preserve">A5 + spend mix</t>
  </si>
  <si>
    <t xml:space="preserve">Spend mix</t>
  </si>
  <si>
    <t xml:space="preserve">15/10/12/63%</t>
  </si>
  <si>
    <t xml:space="preserve">Assumption</t>
  </si>
  <si>
    <t xml:space="preserve">Intl/travel/dining/other</t>
  </si>
  <si>
    <t xml:space="preserve">— PART C — REVENUE RATES —</t>
  </si>
  <si>
    <t xml:space="preserve">C1</t>
  </si>
  <si>
    <t xml:space="preserve">Revenue</t>
  </si>
  <si>
    <t xml:space="preserve">Discount revenue rate</t>
  </si>
  <si>
    <t xml:space="preserve">2.24% of billed business</t>
  </si>
  <si>
    <t xml:space="preserve">AR2025 Table 5</t>
  </si>
  <si>
    <t xml:space="preserve">C2</t>
  </si>
  <si>
    <t xml:space="preserve">Take-rate trend</t>
  </si>
  <si>
    <t xml:space="preserve">2.29→2.27→2.24% (FY23→25)</t>
  </si>
  <si>
    <t xml:space="preserve">C3</t>
  </si>
  <si>
    <t xml:space="preserve">Everyday-spend take rate</t>
  </si>
  <si>
    <t xml:space="preserve">2.10% (mix-adjusted)</t>
  </si>
  <si>
    <t xml:space="preserve">Derived from C2</t>
  </si>
  <si>
    <t xml:space="preserve">C4</t>
  </si>
  <si>
    <t xml:space="preserve">FX markup</t>
  </si>
  <si>
    <t xml:space="preserve">SUPERSEDED → 0%</t>
  </si>
  <si>
    <t xml:space="preserve">Amex India T&amp;C</t>
  </si>
  <si>
    <t xml:space="preserve">PS S3 mandates zero forex</t>
  </si>
  <si>
    <t xml:space="preserve">C5</t>
  </si>
  <si>
    <t xml:space="preserve">India billed business</t>
  </si>
  <si>
    <t xml:space="preserve">₹1,12,482 Cr @2.24%</t>
  </si>
  <si>
    <t xml:space="preserve">₹Cr</t>
  </si>
  <si>
    <t xml:space="preserve">Derived, Sch.14</t>
  </si>
  <si>
    <t xml:space="preserve">Net interest yield</t>
  </si>
  <si>
    <t xml:space="preserve">8.1% global / NIM 5.59% India</t>
  </si>
  <si>
    <t xml:space="preserve">AR2025 / AEBC</t>
  </si>
  <si>
    <t xml:space="preserve">Model uses 4.5% — charge card</t>
  </si>
  <si>
    <t xml:space="preserve">— PART D — COST RATES —</t>
  </si>
  <si>
    <t xml:space="preserve">Cost</t>
  </si>
  <si>
    <t xml:space="preserve">MR cost per point (India)</t>
  </si>
  <si>
    <t xml:space="preserve">₹0.26 (range ₹0.21–0.33)</t>
  </si>
  <si>
    <t xml:space="preserve">Derived, AEBC Note 12(p)</t>
  </si>
  <si>
    <t xml:space="preserve">D2</t>
  </si>
  <si>
    <t xml:space="preserve">India MR P&amp;L charge FY26</t>
  </si>
  <si>
    <t xml:space="preserve">₹792 Cr</t>
  </si>
  <si>
    <t xml:space="preserve">AEBC Note 12(p)</t>
  </si>
  <si>
    <t xml:space="preserve">D3</t>
  </si>
  <si>
    <t xml:space="preserve">Global WAC per point</t>
  </si>
  <si>
    <t xml:space="preserve">$0.00677 = 0.68¢</t>
  </si>
  <si>
    <t xml:space="preserve">$</t>
  </si>
  <si>
    <t xml:space="preserve">Derived, AR2025</t>
  </si>
  <si>
    <t xml:space="preserve">Ultimate Redemption Rate</t>
  </si>
  <si>
    <t xml:space="preserve">96%</t>
  </si>
  <si>
    <t xml:space="preserve">D5</t>
  </si>
  <si>
    <t xml:space="preserve">Rewards as % of spend</t>
  </si>
  <si>
    <t xml:space="preserve">0.99% model vs 1.10% actual</t>
  </si>
  <si>
    <t xml:space="preserve">D1×B4 / AR2025</t>
  </si>
  <si>
    <t xml:space="preserve">VALIDATION GATE</t>
  </si>
  <si>
    <t xml:space="preserve">D6</t>
  </si>
  <si>
    <t xml:space="preserve">Card Member services</t>
  </si>
  <si>
    <t xml:space="preserve">0.36% of BB</t>
  </si>
  <si>
    <t xml:space="preserve">AR2025 Table 4</t>
  </si>
  <si>
    <t xml:space="preserve">Layer 1 — no ceiling</t>
  </si>
  <si>
    <t xml:space="preserve">D7</t>
  </si>
  <si>
    <t xml:space="preserve">Business development</t>
  </si>
  <si>
    <t xml:space="preserve">0.39% of BB</t>
  </si>
  <si>
    <t xml:space="preserve">D8</t>
  </si>
  <si>
    <t xml:space="preserve">Marketing per new card</t>
  </si>
  <si>
    <t xml:space="preserve">~$500 ≈ ₹43,500</t>
  </si>
  <si>
    <t xml:space="preserve">5yr amortise, 8% new/yr</t>
  </si>
  <si>
    <t xml:space="preserve">D9</t>
  </si>
  <si>
    <t xml:space="preserve">Credit loss rate</t>
  </si>
  <si>
    <t xml:space="preserve">1.68% India consumer GNPA</t>
  </si>
  <si>
    <t xml:space="preserve">AEBC sector-wise</t>
  </si>
  <si>
    <t xml:space="preserve">D10</t>
  </si>
  <si>
    <t xml:space="preserve">Net write-off (ICS)</t>
  </si>
  <si>
    <t xml:space="preserve">1.9%</t>
  </si>
  <si>
    <t xml:space="preserve">AR2025 Table 13</t>
  </si>
  <si>
    <t xml:space="preserve">D11</t>
  </si>
  <si>
    <t xml:space="preserve">Fraud loss</t>
  </si>
  <si>
    <t xml:space="preserve">₹4.9 Cr net on ~₹6,700 Cr</t>
  </si>
  <si>
    <t xml:space="preserve">AEBC Note 4(e)</t>
  </si>
  <si>
    <t xml:space="preserve">Model uses 0.05%</t>
  </si>
  <si>
    <t xml:space="preserve">5.80%</t>
  </si>
  <si>
    <t xml:space="preserve">— PART E — BENCHMARK / MARKET —</t>
  </si>
  <si>
    <t xml:space="preserve">E1</t>
  </si>
  <si>
    <t xml:space="preserve">Market</t>
  </si>
  <si>
    <t xml:space="preserve">India card spend FY26</t>
  </si>
  <si>
    <t xml:space="preserve">₹23.62 lakh Cr, +12.0%</t>
  </si>
  <si>
    <t xml:space="preserve">RBI</t>
  </si>
  <si>
    <t xml:space="preserve">E2</t>
  </si>
  <si>
    <t xml:space="preserve">Cards outstanding</t>
  </si>
  <si>
    <t xml:space="preserve">119.44mn, +8.19% (Apr'26)</t>
  </si>
  <si>
    <t xml:space="preserve">mn</t>
  </si>
  <si>
    <t xml:space="preserve">E3</t>
  </si>
  <si>
    <t xml:space="preserve">US Platinum fee move</t>
  </si>
  <si>
    <t xml:space="preserve">$695 → $895 (+28.8%)</t>
  </si>
  <si>
    <t xml:space="preserve">Amex Sept 2025</t>
  </si>
  <si>
    <t xml:space="preserve">Precedent for repricing</t>
  </si>
  <si>
    <t xml:space="preserve">E4</t>
  </si>
  <si>
    <t xml:space="preserve">US benefit value move</t>
  </si>
  <si>
    <t xml:space="preserve">~$1,400s → ~$3,500</t>
  </si>
  <si>
    <t xml:space="preserve">Amex</t>
  </si>
  <si>
    <t xml:space="preserve">E5</t>
  </si>
  <si>
    <t xml:space="preserve">US benefit cost step-up</t>
  </si>
  <si>
    <t xml:space="preserve">+$648M/qtr = $2.6bn/yr</t>
  </si>
  <si>
    <t xml:space="preserve">Q2'26 tables</t>
  </si>
  <si>
    <t xml:space="preserve">E6</t>
  </si>
  <si>
    <t xml:space="preserve">US fee capture step-up</t>
  </si>
  <si>
    <t xml:space="preserve">+$382M/qtr = $1.5bn/yr</t>
  </si>
  <si>
    <t xml:space="preserve">Still ramping</t>
  </si>
  <si>
    <t xml:space="preserve">E7</t>
  </si>
  <si>
    <t xml:space="preserve">HDFC cost-to-income</t>
  </si>
  <si>
    <t xml:space="preserve">38.0% — not comparable</t>
  </si>
  <si>
    <t xml:space="preserve">HDFC AR</t>
  </si>
  <si>
    <t xml:space="preserve">E8</t>
  </si>
  <si>
    <t xml:space="preserve">Amex India RoA vs HDFC</t>
  </si>
  <si>
    <t xml:space="preserve">1.41% vs 1.94%</t>
  </si>
  <si>
    <t xml:space="preserve">AEBC / HDFC</t>
  </si>
  <si>
    <t xml:space="preserve">The fair comparison</t>
  </si>
  <si>
    <t xml:space="preserve">TAB 2 — BASELINE P&amp;L (per card, pre-redesign)</t>
  </si>
  <si>
    <t xml:space="preserve">RATES USED</t>
  </si>
  <si>
    <t xml:space="preserve">Line item</t>
  </si>
  <si>
    <t xml:space="preserve">Underused</t>
  </si>
  <si>
    <t xml:space="preserve">Core</t>
  </si>
  <si>
    <t xml:space="preserve">Milestone</t>
  </si>
  <si>
    <t xml:space="preserve">High</t>
  </si>
  <si>
    <t xml:space="preserve">Whale</t>
  </si>
  <si>
    <t xml:space="preserve">BLENDED</t>
  </si>
  <si>
    <t xml:space="preserve">% of BB</t>
  </si>
  <si>
    <t xml:space="preserve">Discount rate</t>
  </si>
  <si>
    <t xml:space="preserve">Segment weight</t>
  </si>
  <si>
    <t xml:space="preserve">Annual spend per card</t>
  </si>
  <si>
    <t xml:space="preserve">BizDev rate</t>
  </si>
  <si>
    <t xml:space="preserve">Milestone hit (≥₹19L)</t>
  </si>
  <si>
    <t xml:space="preserve">no</t>
  </si>
  <si>
    <t xml:space="preserve">YES</t>
  </si>
  <si>
    <t xml:space="preserve">Avg receivable (float)</t>
  </si>
  <si>
    <t xml:space="preserve">Fraud rate</t>
  </si>
  <si>
    <t xml:space="preserve">Float days</t>
  </si>
  <si>
    <t xml:space="preserve">SPEND SPLIT</t>
  </si>
  <si>
    <t xml:space="preserve">CAC</t>
  </si>
  <si>
    <t xml:space="preserve">International</t>
  </si>
  <si>
    <t xml:space="preserve">CAC life (yrs)</t>
  </si>
  <si>
    <t xml:space="preserve">Travel portal</t>
  </si>
  <si>
    <t xml:space="preserve">New cards % / yr</t>
  </si>
  <si>
    <t xml:space="preserve">Dining &gt;₹2K</t>
  </si>
  <si>
    <t xml:space="preserve">Layer 1 benefit cost</t>
  </si>
  <si>
    <t xml:space="preserve">Other</t>
  </si>
  <si>
    <t xml:space="preserve">CMS rate (alt method)</t>
  </si>
  <si>
    <t xml:space="preserve">REWARDS POINTS EARNED</t>
  </si>
  <si>
    <t xml:space="preserve">Base + multiplier points</t>
  </si>
  <si>
    <t xml:space="preserve">A4/B4</t>
  </si>
  <si>
    <t xml:space="preserve">Welcome bonus (amortised)</t>
  </si>
  <si>
    <t xml:space="preserve">Renewal bonus (amortised)</t>
  </si>
  <si>
    <t xml:space="preserve">Total points / yr</t>
  </si>
  <si>
    <t xml:space="preserve">REVENUE</t>
  </si>
  <si>
    <t xml:space="preserve">Discount revenue</t>
  </si>
  <si>
    <t xml:space="preserve">FX markup revenue</t>
  </si>
  <si>
    <t xml:space="preserve">EMI net interest income</t>
  </si>
  <si>
    <t xml:space="preserve">TOTAL REVENUE</t>
  </si>
  <si>
    <t xml:space="preserve">COST</t>
  </si>
  <si>
    <t xml:space="preserve">MR rewards (points × cpp × URR)</t>
  </si>
  <si>
    <t xml:space="preserve">D1/D4</t>
  </si>
  <si>
    <t xml:space="preserve">Layer 1 benefits (bottom-up)</t>
  </si>
  <si>
    <t xml:space="preserve">L1.x</t>
  </si>
  <si>
    <t xml:space="preserve">Acquisition (amortised)</t>
  </si>
  <si>
    <t xml:space="preserve">Credit loss (on receivables)</t>
  </si>
  <si>
    <t xml:space="preserve">Cost of funds (on receivables)</t>
  </si>
  <si>
    <t xml:space="preserve">TOTAL BASELINE COST</t>
  </si>
  <si>
    <t xml:space="preserve">OUTPUT</t>
  </si>
  <si>
    <t xml:space="preserve">Baseline contribution</t>
  </si>
  <si>
    <t xml:space="preserve">Contribution margin %</t>
  </si>
  <si>
    <t xml:space="preserve">VALIDATION GATES</t>
  </si>
  <si>
    <t xml:space="preserve">Rewards as % of spend (D5 gate)</t>
  </si>
  <si>
    <t xml:space="preserve">Discount revenue ÷ spend</t>
  </si>
  <si>
    <t xml:space="preserve">Blended spend = ₹19.0L (A9 anchor)</t>
  </si>
  <si>
    <t xml:space="preserve">Spend split sums to spend</t>
  </si>
  <si>
    <t xml:space="preserve">PLATINUM 365 — BENEFIT COST ENGINE</t>
  </si>
  <si>
    <t xml:space="preserve">Net cost = unit x utilisation x (1 - co-fund).  Only Layer 2 + Layer 3 count vs the Rs.20K ceiling.</t>
  </si>
  <si>
    <t xml:space="preserve">Benefit</t>
  </si>
  <si>
    <t xml:space="preserve">Layer</t>
  </si>
  <si>
    <t xml:space="preserve">Status</t>
  </si>
  <si>
    <t xml:space="preserve">Pillar</t>
  </si>
  <si>
    <t xml:space="preserve">Face value</t>
  </si>
  <si>
    <t xml:space="preserve">Unit cost</t>
  </si>
  <si>
    <t xml:space="preserve">Util %</t>
  </si>
  <si>
    <t xml:space="preserve">Co-fund %</t>
  </si>
  <si>
    <t xml:space="preserve">Net cost</t>
  </si>
  <si>
    <t xml:space="preserve">Cost if activated</t>
  </si>
  <si>
    <t xml:space="preserve">Counts vs Rs.20K?</t>
  </si>
  <si>
    <t xml:space="preserve">Tightening / basis</t>
  </si>
  <si>
    <t xml:space="preserve">LAYER 1 — RETAINED  ·  baseline stack  ·  does NOT count vs the Rs.20K ceiling</t>
  </si>
  <si>
    <t xml:space="preserve">L1.1</t>
  </si>
  <si>
    <t xml:space="preserve">Unlimited lounge access</t>
  </si>
  <si>
    <t xml:space="preserve">RETAIN</t>
  </si>
  <si>
    <t xml:space="preserve">Travel</t>
  </si>
  <si>
    <t xml:space="preserve">N</t>
  </si>
  <si>
    <t xml:space="preserve">Partner subsidy rate</t>
  </si>
  <si>
    <t xml:space="preserve">L1.2</t>
  </si>
  <si>
    <t xml:space="preserve">4 hotel elite statuses</t>
  </si>
  <si>
    <t xml:space="preserve">Negotiated, status-only</t>
  </si>
  <si>
    <t xml:space="preserve">L1.3</t>
  </si>
  <si>
    <t xml:space="preserve">Fine Hotels &amp; Resorts credit</t>
  </si>
  <si>
    <t xml:space="preserve">75% util x co-fund, already net</t>
  </si>
  <si>
    <t xml:space="preserve">L1.4</t>
  </si>
  <si>
    <t xml:space="preserve">Golf (unlimited)</t>
  </si>
  <si>
    <t xml:space="preserve">Lifestyle</t>
  </si>
  <si>
    <t xml:space="preserve">L1.5</t>
  </si>
  <si>
    <t xml:space="preserve">Taj 25% discount</t>
  </si>
  <si>
    <t xml:space="preserve">Revenue-neutral to issuer</t>
  </si>
  <si>
    <t xml:space="preserve">L1.6</t>
  </si>
  <si>
    <t xml:space="preserve">Dining perks (EazyDiner + PVR)</t>
  </si>
  <si>
    <t xml:space="preserve">Dining</t>
  </si>
  <si>
    <t xml:space="preserve">L1.7</t>
  </si>
  <si>
    <t xml:space="preserve">Welcome vouchers (amortised)</t>
  </si>
  <si>
    <t xml:space="preserve">Acquisition</t>
  </si>
  <si>
    <t xml:space="preserve">5-yr amortisation</t>
  </si>
  <si>
    <t xml:space="preserve">L1.8</t>
  </si>
  <si>
    <t xml:space="preserve">Renewal vouchers @ Rs.20L</t>
  </si>
  <si>
    <t xml:space="preserve">Retention</t>
  </si>
  <si>
    <t xml:space="preserve">55% attainment</t>
  </si>
  <si>
    <t xml:space="preserve">L1.9</t>
  </si>
  <si>
    <t xml:space="preserve">Rewards program (1pt/Rs.50)</t>
  </si>
  <si>
    <t xml:space="preserve">Earn</t>
  </si>
  <si>
    <t xml:space="preserve">COSTED IN TAB 2 (MR line) — zero here to avoid double-count</t>
  </si>
  <si>
    <t xml:space="preserve">L1.10</t>
  </si>
  <si>
    <t xml:space="preserve">Charge card basics</t>
  </si>
  <si>
    <t xml:space="preserve">Protection</t>
  </si>
  <si>
    <t xml:space="preserve">No spend cap, zero forex, insurance, transfers, 24/7 concierge</t>
  </si>
  <si>
    <t xml:space="preserve">L1.11</t>
  </si>
  <si>
    <t xml:space="preserve">Digital-First Concierge</t>
  </si>
  <si>
    <t xml:space="preserve">Service</t>
  </si>
  <si>
    <t xml:space="preserve">Moved from L2.4 — channel upgrade to an existing L1 concierge, not a new benefit</t>
  </si>
  <si>
    <t xml:space="preserve">LAYER 1 SUBTOTAL (retained)</t>
  </si>
  <si>
    <t xml:space="preserve">LAYER 2 — ALWAYS-ON  ·  100% of card base  ·  COUNTS vs ceiling</t>
  </si>
  <si>
    <t xml:space="preserve">L2.1</t>
  </si>
  <si>
    <t xml:space="preserve">Value Ledger</t>
  </si>
  <si>
    <t xml:space="preserve">NEW</t>
  </si>
  <si>
    <t xml:space="preserve">Engagement</t>
  </si>
  <si>
    <t xml:space="preserve">Y</t>
  </si>
  <si>
    <t xml:space="preserve">Infra, auto-on, 100% util by design</t>
  </si>
  <si>
    <t xml:space="preserve">L2.2</t>
  </si>
  <si>
    <t xml:space="preserve">Progressive Milestone Ladder</t>
  </si>
  <si>
    <t xml:space="preserve">Calendar-yr spend only (no rolling 12m) | 90-day voucher expiry | partner-brand redemption only. Util = 55% attain x 90% redeem</t>
  </si>
  <si>
    <t xml:space="preserve">L2.3</t>
  </si>
  <si>
    <t xml:space="preserve">Big-Ticket Digital Advantage</t>
  </si>
  <si>
    <t xml:space="preserve">Digital</t>
  </si>
  <si>
    <t xml:space="preserve">Max 2 PPC claims/yr | Rs.2L cap per claim | app-registered pre-checkout</t>
  </si>
  <si>
    <t xml:space="preserve">LAYER 2 SUBTOTAL (always-on)</t>
  </si>
  <si>
    <t xml:space="preserve">LAYER 3 — CHOICE MODULES  ·  4 active / 2 reserve  ·  COUNTS vs ceiling  ·  flip Status to re-run the swap</t>
  </si>
  <si>
    <t xml:space="preserve">M1</t>
  </si>
  <si>
    <t xml:space="preserve">Premium Ground Mobility</t>
  </si>
  <si>
    <t xml:space="preserve">RESERVE</t>
  </si>
  <si>
    <t xml:space="preserve">RESERVE — Uber Black, activates on swap</t>
  </si>
  <si>
    <t xml:space="preserve">M2</t>
  </si>
  <si>
    <t xml:space="preserve">Culinary Access</t>
  </si>
  <si>
    <t xml:space="preserve">ACTIVE</t>
  </si>
  <si>
    <t xml:space="preserve">Held tables + Rs.800/mo credit; restaurant co-fund 35% | Slot share 0.5 applied — member activates 2 of 4 Layer-3 modules</t>
  </si>
  <si>
    <t xml:space="preserve">M3</t>
  </si>
  <si>
    <t xml:space="preserve">Luxury Digital Retail</t>
  </si>
  <si>
    <t xml:space="preserve">Rs.1,000/mo budget; marketplace co-fund 40% | Slot share 0.5 applied — member activates 2 of 4 Layer-3 modules</t>
  </si>
  <si>
    <t xml:space="preserve">M4</t>
  </si>
  <si>
    <t xml:space="preserve">Preventive Health</t>
  </si>
  <si>
    <t xml:space="preserve">Wellness</t>
  </si>
  <si>
    <t xml:space="preserve">2 panels + 10 teleconsults, hard-bounded; lab co-fund 30% | Slot share 0.5 applied — member activates 2 of 4 Layer-3 modules</t>
  </si>
  <si>
    <t xml:space="preserve">M5</t>
  </si>
  <si>
    <t xml:space="preserve">Culture &amp; Events</t>
  </si>
  <si>
    <t xml:space="preserve">RESERVE — Culture &amp; Events, activates on swap</t>
  </si>
  <si>
    <t xml:space="preserve">M6</t>
  </si>
  <si>
    <t xml:space="preserve">Premium Household Services</t>
  </si>
  <si>
    <t xml:space="preserve">Rs.800/mo single provider; co-fund 35% | Slot share 0.5 applied — member activates 2 of 4 Layer-3 modules</t>
  </si>
  <si>
    <t xml:space="preserve">LAYER 3 SUBTOTAL (active only)</t>
  </si>
  <si>
    <t xml:space="preserve">Reserve pool (M1 + M5) — funded from headroom on swap</t>
  </si>
  <si>
    <t xml:space="preserve">Cost only if a member swaps into them; the swap-out releases the module it replaces</t>
  </si>
  <si>
    <t xml:space="preserve">ROLLUP — INCREMENTAL BENEFIT COST vs THE Rs.20,000 CEILING</t>
  </si>
  <si>
    <t xml:space="preserve">Item</t>
  </si>
  <si>
    <t xml:space="preserve">Face value Rs.</t>
  </si>
  <si>
    <t xml:space="preserve">Issuer net cost Rs.</t>
  </si>
  <si>
    <t xml:space="preserve">Layer 2 (always-on)</t>
  </si>
  <si>
    <t xml:space="preserve">Layer 3 (4 modules active)</t>
  </si>
  <si>
    <t xml:space="preserve">TOTAL NEW BENEFIT (counts vs ceiling)</t>
  </si>
  <si>
    <t xml:space="preserve">Ceiling (PS S4 constraint 2)</t>
  </si>
  <si>
    <t xml:space="preserve">HEADROOM</t>
  </si>
  <si>
    <t xml:space="preserve">Leverage (face / cost)</t>
  </si>
  <si>
    <t xml:space="preserve">Layer 1 retained cost (memo — reconciles to Tab 2 Layer 1 line)</t>
  </si>
  <si>
    <t xml:space="preserve">SEGMENT-LEVEL EXPOSURE — utilisation scales with spend tier; utilisation capped at 100%</t>
  </si>
  <si>
    <t xml:space="preserve">Benefit (counting rows only)</t>
  </si>
  <si>
    <t xml:space="preserve">Unit x (1-cofund)</t>
  </si>
  <si>
    <t xml:space="preserve">Underused Rs.8L</t>
  </si>
  <si>
    <t xml:space="preserve">Core Rs.13L</t>
  </si>
  <si>
    <t xml:space="preserve">Milestone Rs.19L</t>
  </si>
  <si>
    <t xml:space="preserve">High Rs.28L</t>
  </si>
  <si>
    <t xml:space="preserve">Whale Rs.45L</t>
  </si>
  <si>
    <t xml:space="preserve">Utilisation index</t>
  </si>
  <si>
    <t xml:space="preserve">weighted avg = 1.00</t>
  </si>
  <si>
    <t xml:space="preserve">TOTAL NEW COST per card</t>
  </si>
  <si>
    <t xml:space="preserve">% of Rs.20K ceiling</t>
  </si>
  <si>
    <t xml:space="preserve">Within ceiling?</t>
  </si>
  <si>
    <t xml:space="preserve">Weighted blend of segments (reconciliation)</t>
  </si>
  <si>
    <t xml:space="preserve">Total new cost &lt;= Rs.20,000 ceiling</t>
  </si>
  <si>
    <t xml:space="preserve">Headroom &gt;= Rs.0</t>
  </si>
  <si>
    <t xml:space="preserve">Leverage &gt;= 3.0x</t>
  </si>
  <si>
    <t xml:space="preserve">Worst-case segment &lt;= ceiling</t>
  </si>
  <si>
    <t xml:space="preserve">Segment blend within 5% of headline</t>
  </si>
  <si>
    <t xml:space="preserve">Layer 1 subtotal ties to Tab 2 (Rs.38,900)</t>
  </si>
  <si>
    <t xml:space="preserve">Active module count = 4</t>
  </si>
  <si>
    <t xml:space="preserve">REALLOCATION REGISTER — Layer 1 Redesign</t>
  </si>
  <si>
    <t xml:space="preserve">Benefit Name</t>
  </si>
  <si>
    <t xml:space="preserve">Current Cost</t>
  </si>
  <si>
    <t xml:space="preserve">Action</t>
  </si>
  <si>
    <t xml:space="preserve">Cost Freed</t>
  </si>
  <si>
    <t xml:space="preserve">PS Constraint 4?</t>
  </si>
  <si>
    <t xml:space="preserve">Reason</t>
  </si>
  <si>
    <t xml:space="preserve">Unlimited lounge</t>
  </si>
  <si>
    <t xml:space="preserve">KEEP</t>
  </si>
  <si>
    <t xml:space="preserve">✓ YES</t>
  </si>
  <si>
    <t xml:space="preserve">PS Constraint 4: travel benefits must continue</t>
  </si>
  <si>
    <t xml:space="preserve">RESIZE 50%</t>
  </si>
  <si>
    <t xml:space="preserve">Oversized for affluent; 75% util but low booking; gate at ₹7.4K</t>
  </si>
  <si>
    <t xml:space="preserve">RETIRE</t>
  </si>
  <si>
    <t xml:space="preserve">Not a travel benefit; &lt;2% utilization; frees budget</t>
  </si>
  <si>
    <t xml:space="preserve">Dining perks</t>
  </si>
  <si>
    <t xml:space="preserve">Superseded by M2 Culinary in L3, but keep L1 version</t>
  </si>
  <si>
    <t xml:space="preserve">Welcome vouchers</t>
  </si>
  <si>
    <t xml:space="preserve">Acquisition lever; optional resize to 50% (₹6K) if needed</t>
  </si>
  <si>
    <t xml:space="preserve">Renewal vouchers</t>
  </si>
  <si>
    <t xml:space="preserve">SUPERSEDE</t>
  </si>
  <si>
    <t xml:space="preserve">Replaced by L2.2 Milestone Ladder (no cliff, smoother engagement)</t>
  </si>
  <si>
    <t xml:space="preserve">Essential; counts toward Layer 1</t>
  </si>
  <si>
    <t xml:space="preserve">TOTAL RECLAIMED</t>
  </si>
  <si>
    <t xml:space="preserve">Layer 1 total (before reallocation)</t>
  </si>
  <si>
    <t xml:space="preserve">Layer 1 total (after reallocation)</t>
  </si>
  <si>
    <t xml:space="preserve">VALIDATION: PS Constraint 4 — Travel benefits retained?</t>
  </si>
  <si>
    <t xml:space="preserve">PLATINUM 365 — BEHAVIOURAL SCENARIOS</t>
  </si>
  <si>
    <t xml:space="preserve">SELECTED column follows the Tab 1 scenario dropdown</t>
  </si>
  <si>
    <t xml:space="preserve">SCENARIO-INDEPENDENT INPUTS</t>
  </si>
  <si>
    <t xml:space="preserve">BLOCK A — LEVER ASSUMPTIONS</t>
  </si>
  <si>
    <t xml:space="preserve">Pre-redesign fee (baseline)</t>
  </si>
  <si>
    <t xml:space="preserve">Lever</t>
  </si>
  <si>
    <t xml:space="preserve">Conservative</t>
  </si>
  <si>
    <t xml:space="preserve">Bull</t>
  </si>
  <si>
    <t xml:space="preserve">SELECTED</t>
  </si>
  <si>
    <t xml:space="preserve">Evidence</t>
  </si>
  <si>
    <t xml:space="preserve">Milestone attainment baseline</t>
  </si>
  <si>
    <t xml:space="preserve">Spend uplift vs baseline</t>
  </si>
  <si>
    <t xml:space="preserve">S1</t>
  </si>
  <si>
    <t xml:space="preserve">US Platinum Sept-2025 reprice: +12-18% Y1 spend</t>
  </si>
  <si>
    <t xml:space="preserve">Module utilisation baseline</t>
  </si>
  <si>
    <t xml:space="preserve">S2</t>
  </si>
  <si>
    <t xml:space="preserve">Ladder vs 55% cliff baseline</t>
  </si>
  <si>
    <t xml:space="preserve">Ladder unit cost</t>
  </si>
  <si>
    <t xml:space="preserve">Active module utilisation</t>
  </si>
  <si>
    <t xml:space="preserve">S3</t>
  </si>
  <si>
    <t xml:space="preserve">M2/M3/M4/M6 adoption curves</t>
  </si>
  <si>
    <t xml:space="preserve">Ladder redemption</t>
  </si>
  <si>
    <t xml:space="preserve">Digital engagement (app MAU)</t>
  </si>
  <si>
    <t xml:space="preserve">S4</t>
  </si>
  <si>
    <t xml:space="preserve">MEMO — drives S3/S5, not costed directly</t>
  </si>
  <si>
    <t xml:space="preserve">Layer 1 spend reclaimed</t>
  </si>
  <si>
    <t xml:space="preserve">Attrition rate</t>
  </si>
  <si>
    <t xml:space="preserve">S5</t>
  </si>
  <si>
    <t xml:space="preserve">Baseline 14%; engagement lifts retention</t>
  </si>
  <si>
    <t xml:space="preserve">Fee acceptance formula constant</t>
  </si>
  <si>
    <t xml:space="preserve">Acquisition uplift Y1</t>
  </si>
  <si>
    <t xml:space="preserve">S6</t>
  </si>
  <si>
    <t xml:space="preserve">Feeds Tab 5 card base only</t>
  </si>
  <si>
    <t xml:space="preserve">Fee acceptance sensitivity</t>
  </si>
  <si>
    <t xml:space="preserve">Fee acceptance (no downgrade)</t>
  </si>
  <si>
    <t xml:space="preserve">S7</t>
  </si>
  <si>
    <t xml:space="preserve">Derived from formula: MAX(0.75, 0.975 - 0.35 * Δfee / fee_baseline)</t>
  </si>
  <si>
    <t xml:space="preserve">BLOCK B — PER-CARD CONTRIBUTION BRIDGE (derived from Tab 2 rates)</t>
  </si>
  <si>
    <t xml:space="preserve">Baseline contribution (Tab 2, at current fee)</t>
  </si>
  <si>
    <t xml:space="preserve">T2 I39</t>
  </si>
  <si>
    <t xml:space="preserve">Tab 2 books the fee at fee_annual</t>
  </si>
  <si>
    <t xml:space="preserve">   less: restate fee to pre-redesign baseline</t>
  </si>
  <si>
    <t xml:space="preserve">Removes the repricing so it can be shown as a redesign gain</t>
  </si>
  <si>
    <t xml:space="preserve">PRE-REDESIGN CONTRIBUTION (like-for-like)</t>
  </si>
  <si>
    <t xml:space="preserve">   + Fee repricing gain</t>
  </si>
  <si>
    <t xml:space="preserve">Only real if acceptance holds — see S7 drag in Tab 5</t>
  </si>
  <si>
    <t xml:space="preserve">   + Δ Discount revenue</t>
  </si>
  <si>
    <t xml:space="preserve">   + Δ EMI net interest income</t>
  </si>
  <si>
    <t xml:space="preserve">   − Δ MR rewards cost</t>
  </si>
  <si>
    <t xml:space="preserve">D1/B4</t>
  </si>
  <si>
    <t xml:space="preserve">   − Δ Business development</t>
  </si>
  <si>
    <t xml:space="preserve">   − Δ Fraud</t>
  </si>
  <si>
    <t xml:space="preserve">   − Δ Credit loss + cost of funds</t>
  </si>
  <si>
    <t xml:space="preserve">D9/D12</t>
  </si>
  <si>
    <t xml:space="preserve">   − Layer 2 cost (Ladder ₹2.97K + Value Ledger ₹1.2K)</t>
  </si>
  <si>
    <t xml:space="preserve">Tab 3</t>
  </si>
  <si>
    <t xml:space="preserve">     Of which: replaces L1.8 renewal voucher (net ₹0 cost)</t>
  </si>
  <si>
    <t xml:space="preserve">Tab 3B</t>
  </si>
  <si>
    <t xml:space="preserve">     Net new Layer 2 cost vs ceiling</t>
  </si>
  <si>
    <t xml:space="preserve">   − Layer 3 cost (4 lifestyle modules, pure new)</t>
  </si>
  <si>
    <t xml:space="preserve">   + Layer 1 spend reclaimed</t>
  </si>
  <si>
    <t xml:space="preserve">Retire golf, FHR resize, renewal voucher → Ladder</t>
  </si>
  <si>
    <t xml:space="preserve">Cost ceiling</t>
  </si>
  <si>
    <t xml:space="preserve">   + Retention value of attrition improvement [MEMO ONLY — Tab 5 handles]</t>
  </si>
  <si>
    <t xml:space="preserve">Avoided churn x (contribution + avoided CAC). Do NOT add to delta.</t>
  </si>
  <si>
    <t xml:space="preserve">'=post-redesign contribution per card</t>
  </si>
  <si>
    <t xml:space="preserve">Δ vs pre-redesign (the number Tab 5 discounts)</t>
  </si>
  <si>
    <t xml:space="preserve">BLOCK C — DIAGNOSTICS</t>
  </si>
  <si>
    <t xml:space="preserve">Marginal contribution per ₹1 incremental spend</t>
  </si>
  <si>
    <t xml:space="preserve">If this is under ~0.5%, spend uplift is not the value driver</t>
  </si>
  <si>
    <t xml:space="preserve">Total new benefit cost at scenario</t>
  </si>
  <si>
    <t xml:space="preserve">% of ₹20K ceiling</t>
  </si>
  <si>
    <t xml:space="preserve">Benefit cost funded by fee + reclaim + retention</t>
  </si>
  <si>
    <t xml:space="preserve">Under 100% means the redesign is per-card dilutive</t>
  </si>
  <si>
    <t xml:space="preserve">BLOCK D — OUTPUTS TO TAB 5</t>
  </si>
  <si>
    <t xml:space="preserve">Post-redesign contribution / card</t>
  </si>
  <si>
    <t xml:space="preserve">Δ contribution vs pre-redesign</t>
  </si>
  <si>
    <t xml:space="preserve">Pre-redesign contribution / card</t>
  </si>
  <si>
    <t xml:space="preserve">New benefit cost / card</t>
  </si>
  <si>
    <t xml:space="preserve">Fee acceptance</t>
  </si>
  <si>
    <t xml:space="preserve">Spend uplift</t>
  </si>
  <si>
    <t xml:space="preserve">Bull-case benefit cost still ≤ ₹20K ceiling</t>
  </si>
  <si>
    <t xml:space="preserve">Conservative benefit cost ≥ Layer 2 floor</t>
  </si>
  <si>
    <t xml:space="preserve">Scenario ordering: spend uplift Cons&lt;Base&lt;Bull</t>
  </si>
  <si>
    <t xml:space="preserve">Attrition ordering: Cons&gt;Base&gt;Bull</t>
  </si>
  <si>
    <t xml:space="preserve">Pre-redesign contribution ties to Tab 2 less repricing</t>
  </si>
  <si>
    <t xml:space="preserve">Base case is NPV-positive per card (Δ ≥ 0)</t>
  </si>
  <si>
    <t xml:space="preserve">PS Constraint 4: Travel benefits (lounge + hotel) retained?</t>
  </si>
  <si>
    <t xml:space="preserve">See Tab 3B Reallocation Register for confirmation</t>
  </si>
  <si>
    <t xml:space="preserve">PLATINUM 365 — ROI &amp; NPV ANALYSIS</t>
  </si>
  <si>
    <t xml:space="preserve">Incremental cash flows only. Baseline contribution is earned with or without the redesign and is therefore excluded. Discounted @ WACC from Tab 1.</t>
  </si>
  <si>
    <t xml:space="preserve">YEAR 0 INVESTMENT &amp; DRIVERS</t>
  </si>
  <si>
    <t xml:space="preserve">BLOCK A — CARDS IN FORCE (Year 0–5)</t>
  </si>
  <si>
    <t xml:space="preserve">App build (midpoint 3–5 Cr)</t>
  </si>
  <si>
    <t xml:space="preserve">Metric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</si>
  <si>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</si>
  <si>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</si>
  <si>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</si>
  <si>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</si>
  <si>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</si>
  <si>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</si>
  <si>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Launch marketing (midpoint 1–2 Cr)</t>
  </si>
  <si>
    <t xml:space="preserve">Opening card base</t>
  </si>
  <si>
    <t xml:space="preserve">Total Year 0 investment</t>
  </si>
  <si>
    <t xml:space="preserve">Net new cards (acq − churn − Y1 downgrade)</t>
  </si>
  <si>
    <t xml:space="preserve">S5/S6/S7</t>
  </si>
  <si>
    <t xml:space="preserve">Ongoing marketing/yr (0 = already in Tab 2 CAC)</t>
  </si>
  <si>
    <t xml:space="preserve">Closing card base — WITH redesign</t>
  </si>
  <si>
    <t xml:space="preserve">Gross acquisition rate (ties Tab 2 new_card_pct)</t>
  </si>
  <si>
    <t xml:space="preserve">Counterfactual card base — NO redesign</t>
  </si>
  <si>
    <t xml:space="preserve">A10/D8/A17</t>
  </si>
  <si>
    <t xml:space="preserve">Incremental cards vs counterfactual</t>
  </si>
  <si>
    <t xml:space="preserve">BLOCK B — PER-CARD ECONOMICS (live from Tab 4 scenario selector)</t>
  </si>
  <si>
    <t xml:space="preserve">Pre-redesign contribution / card  [MEMO — not a cash flow]</t>
  </si>
  <si>
    <t xml:space="preserve">Tab 4 G43</t>
  </si>
  <si>
    <t xml:space="preserve">Fee repricing gain  [MEMO — already inside the Δ below]</t>
  </si>
  <si>
    <t xml:space="preserve">Δ contribution / card (Tab 4) — INCLUDES fee gain, benefit cost, retention</t>
  </si>
  <si>
    <t xml:space="preserve">Tab 4 G42</t>
  </si>
  <si>
    <t xml:space="preserve">Post-redesign contribution / card (pre + Δ)</t>
  </si>
  <si>
    <t xml:space="preserve">INCREMENTAL FCF per existing card (= Δ only)</t>
  </si>
  <si>
    <t xml:space="preserve">BLOCK C — PORTFOLIO CASH FLOWS (Y0–Y5)</t>
  </si>
  <si>
    <t xml:space="preserve">One-time investment (Y0)</t>
  </si>
  <si>
    <t xml:space="preserve">Incremental marketing (Y1–Y5)</t>
  </si>
  <si>
    <t xml:space="preserve">Additional CAC on incremental cards (4/5 of full CAC)</t>
  </si>
  <si>
    <t xml:space="preserve">Op CF (a): counterfactual base × Δ contribution</t>
  </si>
  <si>
    <t xml:space="preserve">Op CF (b): incremental cards × post-redesign contribution</t>
  </si>
  <si>
    <t xml:space="preserve">Operating cash flow (a + b)</t>
  </si>
  <si>
    <t xml:space="preserve">TOTAL FCF</t>
  </si>
  <si>
    <t xml:space="preserve">BLOCK D — NPV @ WACC (Tab 1)</t>
  </si>
  <si>
    <t xml:space="preserve">Discount factor</t>
  </si>
  <si>
    <t xml:space="preserve">WACC</t>
  </si>
  <si>
    <t xml:space="preserve">PV of cash flow</t>
  </si>
  <si>
    <t xml:space="preserve">NPV (Y0–Y5)</t>
  </si>
  <si>
    <t xml:space="preserve">IRR (Y0–Y5)</t>
  </si>
  <si>
    <t xml:space="preserve">Cumulative undiscounted FCF</t>
  </si>
  <si>
    <t xml:space="preserve">Profit multiple (cumulative FCF / Y0 invest)</t>
  </si>
  <si>
    <t xml:space="preserve">BLOCK E — CUMULATIVE FCF &amp; PAYBACK</t>
  </si>
  <si>
    <t xml:space="preserve">Cumulative FCF</t>
  </si>
  <si>
    <t xml:space="preserve">Payback</t>
  </si>
  <si>
    <t xml:space="preserve">BLOCK F — BREAK-EVEN DIAGNOSTIC (the number to pitch)</t>
  </si>
  <si>
    <t xml:space="preserve">5-yr annuity factor @ WACC</t>
  </si>
  <si>
    <t xml:space="preserve">Average counterfactual cards Y1–Y5</t>
  </si>
  <si>
    <t xml:space="preserve">Δ per card required for NPV = 0</t>
  </si>
  <si>
    <t xml:space="preserve">Δ per card modelled (Tab 4)</t>
  </si>
  <si>
    <t xml:space="preserve">GAP TO CLOSE  →  set l1_reclaim (Tab 4 K8) to at least this</t>
  </si>
  <si>
    <t xml:space="preserve">SUMMARY METRICS FOR DECK</t>
  </si>
  <si>
    <t xml:space="preserve">Cards Y0 (launch)</t>
  </si>
  <si>
    <t xml:space="preserve">Cards Y5 (with redesign)</t>
  </si>
  <si>
    <t xml:space="preserve">Cards Y5 (counterfactual)</t>
  </si>
  <si>
    <t xml:space="preserve">NPV (5yr, selected scenario)</t>
  </si>
  <si>
    <t xml:space="preserve">IRR</t>
  </si>
  <si>
    <t xml:space="preserve">Profit multiple (undiscounted)</t>
  </si>
  <si>
    <t xml:space="preserve">Pre-redesign contrib / card</t>
  </si>
  <si>
    <t xml:space="preserve">Post-redesign contrib / card</t>
  </si>
  <si>
    <t xml:space="preserve">Incremental FCF / card (= Δ)</t>
  </si>
  <si>
    <t xml:space="preserve">Y0 investment</t>
  </si>
  <si>
    <t xml:space="preserve">Δ/card needed for NPV = 0</t>
  </si>
  <si>
    <t xml:space="preserve">Gap to close</t>
  </si>
  <si>
    <t xml:space="preserve">Incremental FCF = Tab 4 Δ (no baseline, no double fee)</t>
  </si>
  <si>
    <t xml:space="preserve">Counterfactual base &lt; redesign base by Y5 (redesign helps volume)</t>
  </si>
  <si>
    <t xml:space="preserve">Pre-redesign contribution ties to Tab 4</t>
  </si>
  <si>
    <t xml:space="preserve">NPV positive</t>
  </si>
  <si>
    <t xml:space="preserve">No marketing double-count with Tab 2 CAC</t>
  </si>
  <si>
    <t xml:space="preserve">PLATINUM 365 — SENSITIVITY ANALYSIS</t>
  </si>
  <si>
    <t xml:space="preserve">Tornado (1-way), 2-way fee×spend (using real marginal 0.13%), 2-way util×cofund, break-even. All per Tab 5 corrected incremental logic.</t>
  </si>
  <si>
    <t xml:space="preserve">BLOCK A — TORNADO (NPV sensitivity, sorted by swing)</t>
  </si>
  <si>
    <t xml:space="preserve">Variable</t>
  </si>
  <si>
    <t xml:space="preserve">Low</t>
  </si>
  <si>
    <t xml:space="preserve">Swing</t>
  </si>
  <si>
    <t xml:space="preserve">Rank</t>
  </si>
  <si>
    <t xml:space="preserve">NPV @ Low</t>
  </si>
  <si>
    <t xml:space="preserve">NPV @ High</t>
  </si>
  <si>
    <t xml:space="preserve">Spend uplift %</t>
  </si>
  <si>
    <t xml:space="preserve">WACC (discount rate)</t>
  </si>
  <si>
    <t xml:space="preserve">Module utilisation %</t>
  </si>
  <si>
    <t xml:space="preserve">Note: sort by column G descending to see ranking</t>
  </si>
  <si>
    <t xml:space="preserve">BLOCK B — 2-WAY: Fee (rows) × Spend Uplift (cols) → NPV (5yr)</t>
  </si>
  <si>
    <t xml:space="preserve">Fee (ex-GST)</t>
  </si>
  <si>
    <t xml:space="preserve">-5%</t>
  </si>
  <si>
    <t xml:space="preserve">+0%</t>
  </si>
  <si>
    <t xml:space="preserve">+5%</t>
  </si>
  <si>
    <t xml:space="preserve">+8%</t>
  </si>
  <si>
    <t xml:space="preserve">+12%</t>
  </si>
  <si>
    <t xml:space="preserve">+15%</t>
  </si>
  <si>
    <t xml:space="preserve">₹50,000</t>
  </si>
  <si>
    <t xml:space="preserve">fee</t>
  </si>
  <si>
    <t xml:space="preserve">₹55,000</t>
  </si>
  <si>
    <t xml:space="preserve">₹60,000</t>
  </si>
  <si>
    <t xml:space="preserve">₹66,000</t>
  </si>
  <si>
    <t xml:space="preserve">₹70,000</t>
  </si>
  <si>
    <t xml:space="preserve">BLOCK C — 2-WAY: Module Util (rows) × Co-fund % (cols) → Benefit Cost/card</t>
  </si>
  <si>
    <t xml:space="preserve">Module Util %</t>
  </si>
  <si>
    <t xml:space="preserve">30%</t>
  </si>
  <si>
    <t xml:space="preserve">35%</t>
  </si>
  <si>
    <t xml:space="preserve">40%</t>
  </si>
  <si>
    <t xml:space="preserve">50%</t>
  </si>
  <si>
    <t xml:space="preserve">45%</t>
  </si>
  <si>
    <t xml:space="preserve">util</t>
  </si>
  <si>
    <t xml:space="preserve">60%</t>
  </si>
  <si>
    <t xml:space="preserve">70%</t>
  </si>
  <si>
    <t xml:space="preserve">80%</t>
  </si>
  <si>
    <t xml:space="preserve">BLOCK D — BREAK-EVEN ANALYSIS</t>
  </si>
  <si>
    <t xml:space="preserve">Minimum spend uplift needed for NPV ≥ 0, by fee level:</t>
  </si>
  <si>
    <t xml:space="preserve">Fee level</t>
  </si>
  <si>
    <t xml:space="preserve">Required spend uplift</t>
  </si>
  <si>
    <t xml:space="preserve">Achievable?</t>
  </si>
  <si>
    <t xml:space="preserve">Profitable even with revenue decline</t>
  </si>
  <si>
    <t xml:space="preserve">Break-even on day 1</t>
  </si>
  <si>
    <t xml:space="preserve">Conservative case still wins</t>
  </si>
  <si>
    <t xml:space="preserve">Needs material spend lift</t>
  </si>
  <si>
    <t xml:space="preserve">BLOCK E — RISK &amp; LEVER SUMMARY</t>
  </si>
  <si>
    <t xml:space="preserve">Type</t>
  </si>
  <si>
    <t xml:space="preserve">Description</t>
  </si>
  <si>
    <t xml:space="preserve">Impact</t>
  </si>
  <si>
    <t xml:space="preserve">Mitigation</t>
  </si>
  <si>
    <t xml:space="preserve">UPSIDE</t>
  </si>
  <si>
    <t xml:space="preserve">Attrition &lt;12%</t>
  </si>
  <si>
    <t xml:space="preserve">Each 1% improvement = +₹3 Cr NPV</t>
  </si>
  <si>
    <t xml:space="preserve">Target &lt;10%</t>
  </si>
  <si>
    <t xml:space="preserve">8%</t>
  </si>
  <si>
    <t xml:space="preserve">Acq uplift &gt;15% Y1</t>
  </si>
  <si>
    <t xml:space="preserve">Each 1% = +₹0.5 Cr NPV</t>
  </si>
  <si>
    <t xml:space="preserve">Bull: +35%</t>
  </si>
  <si>
    <t xml:space="preserve">20–25%</t>
  </si>
  <si>
    <t xml:space="preserve">DOWNSIDE</t>
  </si>
  <si>
    <t xml:space="preserve">Fee acceptance &lt;94%</t>
  </si>
  <si>
    <t xml:space="preserve">Each 1% downgrade = −₹0.3 Cr NPV</t>
  </si>
  <si>
    <t xml:space="preserve">Risk: price resistance</t>
  </si>
  <si>
    <t xml:space="preserve">88–92%</t>
  </si>
  <si>
    <t xml:space="preserve">Spend uplift fails</t>
  </si>
  <si>
    <t xml:space="preserve">Zero uplift = −₹91 Cr NPV</t>
  </si>
  <si>
    <t xml:space="preserve">Need L1 reclaim ₹7K</t>
  </si>
  <si>
    <t xml:space="preserve">−5% to +8%</t>
  </si>
  <si>
    <t xml:space="preserve">MR cost ₹0.26→₹0.33</t>
  </si>
  <si>
    <t xml:space="preserve">Reduces NPV ₹0.3 Cr</t>
  </si>
  <si>
    <t xml:space="preserve">Unlikely</t>
  </si>
  <si>
    <t xml:space="preserve">0.21–0.33</t>
  </si>
  <si>
    <t xml:space="preserve">CRITICAL</t>
  </si>
  <si>
    <t xml:space="preserve">Module util &lt;60%</t>
  </si>
  <si>
    <t xml:space="preserve">Each 5% miss = −₹0.2 Cr NPV</t>
  </si>
  <si>
    <t xml:space="preserve">Product adoption key</t>
  </si>
  <si>
    <t xml:space="preserve">45–75%</t>
  </si>
  <si>
    <t xml:space="preserve">PLATINUM 365 — EXECUTIVE SUMMARY (DECK FEED)</t>
  </si>
  <si>
    <t xml:space="preserve">All metrics formula-linked to Tabs 1–6; updates cascade automatically</t>
  </si>
  <si>
    <t xml:space="preserve">SECTION A: BUSINESS CASE</t>
  </si>
  <si>
    <t xml:space="preserve">Card base at launch</t>
  </si>
  <si>
    <t xml:space="preserve">Pre-repricing fee (baseline)</t>
  </si>
  <si>
    <t xml:space="preserve">Redesigned fee (ex-GST)</t>
  </si>
  <si>
    <t xml:space="preserve">Annual fee increase per card</t>
  </si>
  <si>
    <t xml:space="preserve">Annual blended spend per card</t>
  </si>
  <si>
    <t xml:space="preserve">SECTION B: BENEFIT REDESIGN (₹20K CEILING)</t>
  </si>
  <si>
    <t xml:space="preserve">Layer 1 (retained) — cost</t>
  </si>
  <si>
    <t xml:space="preserve">Layer 2 (always-on) — cost</t>
  </si>
  <si>
    <t xml:space="preserve">Layer 3 (4 active modules) — cost</t>
  </si>
  <si>
    <t xml:space="preserve">Total new benefit cost</t>
  </si>
  <si>
    <t xml:space="preserve">Headroom vs ₹20K ceiling</t>
  </si>
  <si>
    <t xml:space="preserve">Benefit face value (Layer 2+3)</t>
  </si>
  <si>
    <t xml:space="preserve">Leverage ratio (face / cost)</t>
  </si>
  <si>
    <t xml:space="preserve">SECTION C: 5-YEAR FINANCIAL MODEL (SELECTED SCENARIO)</t>
  </si>
  <si>
    <t xml:space="preserve">Year 0 investment</t>
  </si>
  <si>
    <t xml:space="preserve">Opening card base (Y0, with redesign)</t>
  </si>
  <si>
    <t xml:space="preserve">Closing card base (Y5, with redesign)</t>
  </si>
  <si>
    <t xml:space="preserve">Closing card base (Y5, counterfactual)</t>
  </si>
  <si>
    <t xml:space="preserve">Pre-redesign contribution/card</t>
  </si>
  <si>
    <t xml:space="preserve">Fee repricing gain (inside Δ)</t>
  </si>
  <si>
    <t xml:space="preserve">Incremental FCF per card (= Δ)</t>
  </si>
  <si>
    <t xml:space="preserve">Cumulative undiscounted FCF (Y0–Y5)</t>
  </si>
  <si>
    <t xml:space="preserve">SECTION D: NPV &amp; RETURNS (5-YEAR HORIZON)</t>
  </si>
  <si>
    <t xml:space="preserve">NPV @ WACC</t>
  </si>
  <si>
    <t xml:space="preserve">IRR (Year 0–5)</t>
  </si>
  <si>
    <t xml:space="preserve">Payback period</t>
  </si>
  <si>
    <t xml:space="preserve">Δ per card needed for NPV = 0</t>
  </si>
  <si>
    <t xml:space="preserve">Gap to close (via l1_reclaim)</t>
  </si>
  <si>
    <t xml:space="preserve">SECTION E: SENSITIVITY &amp; BREAK-EVEN</t>
  </si>
  <si>
    <t xml:space="preserve">Most sensitive variable</t>
  </si>
  <si>
    <t xml:space="preserve">Attrition rate is most sensitive (₹21 Cr swing per ±3pp). Fee level drives ~₹380 Cr swing. Spend uplift ranks #3 (₹9.4 Cr swing per ±5pp).</t>
  </si>
  <si>
    <t xml:space="preserve">Fee × spend break-even</t>
  </si>
  <si>
    <t xml:space="preserve">₹70K fee is NPV-positive (~₹84–93 Cr) even with spend declining 5%, indicating wide margin of safety.</t>
  </si>
  <si>
    <t xml:space="preserve">Worst-case scenario</t>
  </si>
  <si>
    <t xml:space="preserve">Spend −5% + attrition 15% → still NPV+</t>
  </si>
  <si>
    <t xml:space="preserve">Upside scenario</t>
  </si>
  <si>
    <t xml:space="preserve">Upside scenario (attrition 8% + spend +12%) → NPV ₹212 Cr. Downside (attrition 10% + spend 0%) → NPV ₹62 Cr.</t>
  </si>
  <si>
    <t xml:space="preserve">Risk concentration</t>
  </si>
  <si>
    <t xml:space="preserve">Model is robust to variable misses; attrition is key</t>
  </si>
  <si>
    <t xml:space="preserve">SECTION F: KEY ASSUMPTIONS (SELECTED SCENARIO)</t>
  </si>
  <si>
    <t xml:space="preserve">Spend uplift from redesign</t>
  </si>
  <si>
    <t xml:space="preserve">Cost of capital (WACC)</t>
  </si>
  <si>
    <t xml:space="preserve">SECTION G: HOW TO USE THIS TAB IN YOUR DECK</t>
  </si>
  <si>
    <t xml:space="preserve">SLIDE 1: BUSINESS CASE — Copy values from Block A (card base, fees, spend)</t>
  </si>
  <si>
    <t xml:space="preserve">SLIDE 2: BENEFIT DESIGN — Copy Section B headline (new cost, leverage, headroom)</t>
  </si>
  <si>
    <t xml:space="preserve">SLIDE 3: 5-YEAR FINANCIALS — Copy Section C (investment, card growth, FCF, cumulative)</t>
  </si>
  <si>
    <t xml:space="preserve">SLIDE 4: NPV &amp; RETURNS — Copy Section D (NPV, IRR, multiple, payback)</t>
  </si>
  <si>
    <t xml:space="preserve">SLIDE 5: SENSITIVITY — Copy Section E (spend is key driver, break-even at +3%)</t>
  </si>
  <si>
    <t xml:space="preserve">SLIDE 6: RISKS — Use Section F assumptions to ground risk discussion</t>
  </si>
  <si>
    <t xml:space="preserve">SECTION H: ELEVATOR PITCH (ONE-LINE EACH)</t>
  </si>
  <si>
    <t xml:space="preserve">The Ask</t>
  </si>
  <si>
    <t xml:space="preserve">₹5.5 Cr investment in app + marketing to redesign Platinum card benefit stack.</t>
  </si>
  <si>
    <t xml:space="preserve">The Offer</t>
  </si>
  <si>
    <t xml:space="preserve">Repricing gain is ₹8,000 (from ₹60K), funding ₹13.8K of new engagement benefits while staying below the ₹20K ceiling</t>
  </si>
  <si>
    <t xml:space="preserve">The Return</t>
  </si>
  <si>
    <t xml:space="preserve">The Risk</t>
  </si>
  <si>
    <t xml:space="preserve">Model depends on +8% spend uplift (conservative) and 9% attrition. Attrition &lt;10% is the critical upside lever.</t>
  </si>
  <si>
    <t xml:space="preserve">The Thesis</t>
  </si>
  <si>
    <t xml:space="preserve">Charge card 361-day gap: redesign reallocates L1 travel value into daily engagement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</si>
</sst>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₹#,##0"/>
    <numFmt numFmtId="166" formatCode="0.0%"/>
    <numFmt numFmtId="167" formatCode="#,##0"/>
    <numFmt numFmtId="168" formatCode="0.00%"/>
    <numFmt numFmtId="169" formatCode="\₹#,##0.00"/>
    <numFmt numFmtId="170" formatCode="0.00\×"/>
    <numFmt numFmtId="171" formatCode="0.000%"/>
    <numFmt numFmtId="172" formatCode="0"/>
    <numFmt numFmtId="173" formatCode="0.00\x"/>
    <numFmt numFmtId="174" formatCode="0.000"/>
    <numFmt numFmtId="175" formatCode="\—"/>
    <numFmt numFmtId="176" formatCode="#,##0.0&quot; Cr&quot;"/>
    <numFmt numFmtId="177" formatCode="#,##0,,&quot; Cr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sz val="9"/>
      <color rgb="FF80808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name val="Calibri"/>
      <family val="0"/>
      <charset val="1"/>
    </font>
    <font>
      <sz val="8"/>
      <name val="Calibri"/>
      <family val="0"/>
      <charset val="1"/>
    </font>
    <font>
      <sz val="11"/>
      <color rgb="FF000000"/>
      <name val="Calibri"/>
      <family val="0"/>
      <charset val="1"/>
    </font>
    <font>
      <sz val="8"/>
      <color rgb="FF80808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EDEDED"/>
        <bgColor rgb="FFEAF1FB"/>
      </patternFill>
    </fill>
    <fill>
      <patternFill patternType="solid">
        <fgColor rgb="FFEAF1FB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1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17" activeCellId="0" sqref="F17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8" min="7" style="0" width="10"/>
    <col collapsed="false" customWidth="true" hidden="false" outlineLevel="0" max="9" min="9" style="0" width="34"/>
  </cols>
  <sheetData>
    <row r="1" customFormat="false" ht="15.75" hidden="false" customHeight="true" outlineLevel="0" collapsed="false">
      <c r="B1" s="1" t="s">
        <v>0</v>
      </c>
      <c r="C1" s="2"/>
      <c r="D1" s="2"/>
      <c r="E1" s="2"/>
      <c r="F1" s="3" t="s">
        <v>1</v>
      </c>
      <c r="G1" s="2"/>
      <c r="H1" s="2"/>
      <c r="I1" s="2"/>
    </row>
    <row r="2" customFormat="false" ht="14.25" hidden="false" customHeight="true" outlineLevel="0" collapsed="false">
      <c r="B2" s="4" t="s">
        <v>2</v>
      </c>
      <c r="C2" s="5"/>
      <c r="D2" s="5"/>
      <c r="E2" s="5"/>
      <c r="F2" s="5"/>
    </row>
    <row r="3" customFormat="false" ht="14.25" hidden="false" customHeight="true" outlineLevel="0" collapsed="false">
      <c r="B3" s="6" t="s">
        <v>3</v>
      </c>
      <c r="C3" s="3" t="s">
        <v>4</v>
      </c>
      <c r="D3" s="7" t="n">
        <v>68000</v>
      </c>
      <c r="E3" s="3" t="s">
        <v>5</v>
      </c>
      <c r="F3" s="6" t="s">
        <v>6</v>
      </c>
    </row>
    <row r="4" customFormat="false" ht="14.25" hidden="false" customHeight="true" outlineLevel="0" collapsed="false">
      <c r="B4" s="6" t="s">
        <v>7</v>
      </c>
      <c r="C4" s="3" t="s">
        <v>8</v>
      </c>
      <c r="D4" s="8" t="n">
        <v>0.18</v>
      </c>
      <c r="E4" s="3" t="s">
        <v>9</v>
      </c>
      <c r="F4" s="6" t="s">
        <v>10</v>
      </c>
    </row>
    <row r="5" customFormat="false" ht="14.25" hidden="false" customHeight="true" outlineLevel="0" collapsed="false">
      <c r="B5" s="6" t="s">
        <v>11</v>
      </c>
      <c r="C5" s="3" t="s">
        <v>12</v>
      </c>
      <c r="D5" s="9" t="n">
        <f aca="false">D3*(1+D4)</f>
        <v>80240</v>
      </c>
      <c r="E5" s="3" t="s">
        <v>13</v>
      </c>
      <c r="F5" s="6" t="s">
        <v>14</v>
      </c>
    </row>
    <row r="6" customFormat="false" ht="14.25" hidden="false" customHeight="true" outlineLevel="0" collapsed="false">
      <c r="B6" s="6" t="s">
        <v>15</v>
      </c>
      <c r="C6" s="3" t="s">
        <v>16</v>
      </c>
      <c r="D6" s="10" t="n">
        <v>0.15</v>
      </c>
      <c r="E6" s="10" t="n">
        <v>0.1</v>
      </c>
      <c r="F6" s="10" t="n">
        <v>0.12</v>
      </c>
      <c r="G6" s="10" t="n">
        <v>0.63</v>
      </c>
      <c r="H6" s="10" t="n">
        <f aca="false">SUM(D6:G6)</f>
        <v>1</v>
      </c>
      <c r="I6" s="11" t="str">
        <f aca="false">IF(ABS(H6-1)&lt;0.0001,"✓ sums to 100%","✗ CHECK MIX")</f>
        <v>✓ sums to 100%</v>
      </c>
    </row>
    <row r="7" customFormat="false" ht="14.25" hidden="false" customHeight="true" outlineLevel="0" collapsed="false">
      <c r="B7" s="6" t="s">
        <v>17</v>
      </c>
      <c r="C7" s="3" t="s">
        <v>18</v>
      </c>
      <c r="D7" s="11" t="s">
        <v>19</v>
      </c>
      <c r="E7" s="3" t="s">
        <v>5</v>
      </c>
      <c r="F7" s="6" t="s">
        <v>20</v>
      </c>
    </row>
    <row r="8" customFormat="false" ht="14.25" hidden="false" customHeight="true" outlineLevel="0" collapsed="false">
      <c r="B8" s="6" t="s">
        <v>21</v>
      </c>
      <c r="C8" s="3" t="s">
        <v>18</v>
      </c>
      <c r="D8" s="10" t="n">
        <v>0.06</v>
      </c>
      <c r="E8" s="3" t="s">
        <v>5</v>
      </c>
      <c r="F8" s="6" t="s">
        <v>22</v>
      </c>
    </row>
    <row r="9" customFormat="false" ht="14.25" hidden="false" customHeight="true" outlineLevel="0" collapsed="false">
      <c r="B9" s="6" t="s">
        <v>23</v>
      </c>
      <c r="C9" s="3" t="s">
        <v>24</v>
      </c>
      <c r="D9" s="10" t="n">
        <v>0.045</v>
      </c>
      <c r="E9" s="3" t="s">
        <v>5</v>
      </c>
      <c r="F9" s="6" t="s">
        <v>25</v>
      </c>
    </row>
    <row r="10" customFormat="false" ht="14.25" hidden="false" customHeight="true" outlineLevel="0" collapsed="false">
      <c r="B10" s="6" t="s">
        <v>26</v>
      </c>
      <c r="C10" s="3" t="s">
        <v>18</v>
      </c>
      <c r="D10" s="12" t="n">
        <v>40000</v>
      </c>
      <c r="E10" s="3" t="s">
        <v>5</v>
      </c>
      <c r="F10" s="6" t="s">
        <v>27</v>
      </c>
    </row>
    <row r="11" customFormat="false" ht="14.25" hidden="false" customHeight="true" outlineLevel="0" collapsed="false">
      <c r="B11" s="6" t="s">
        <v>28</v>
      </c>
      <c r="C11" s="3" t="s">
        <v>29</v>
      </c>
      <c r="D11" s="13" t="n">
        <v>0.058</v>
      </c>
      <c r="E11" s="3" t="s">
        <v>9</v>
      </c>
      <c r="F11" s="6" t="s">
        <v>30</v>
      </c>
    </row>
    <row r="12" customFormat="false" ht="14.25" hidden="false" customHeight="true" outlineLevel="0" collapsed="false">
      <c r="B12" s="6" t="s">
        <v>31</v>
      </c>
      <c r="C12" s="3" t="s">
        <v>18</v>
      </c>
      <c r="D12" s="14" t="n">
        <v>0.025</v>
      </c>
      <c r="E12" s="3" t="s">
        <v>5</v>
      </c>
      <c r="F12" s="6" t="s">
        <v>32</v>
      </c>
    </row>
    <row r="13" customFormat="false" ht="14.25" hidden="false" customHeight="true" outlineLevel="0" collapsed="false">
      <c r="B13" s="6" t="s">
        <v>33</v>
      </c>
      <c r="C13" s="3" t="s">
        <v>18</v>
      </c>
      <c r="D13" s="13" t="n">
        <f aca="false">D11+D12</f>
        <v>0.083</v>
      </c>
      <c r="E13" s="3" t="s">
        <v>13</v>
      </c>
      <c r="F13" s="6" t="s">
        <v>34</v>
      </c>
    </row>
    <row r="14" customFormat="false" ht="14.25" hidden="false" customHeight="true" outlineLevel="0" collapsed="false">
      <c r="B14" s="6" t="s">
        <v>35</v>
      </c>
      <c r="C14" s="3" t="s">
        <v>36</v>
      </c>
      <c r="D14" s="15" t="n">
        <v>0.26</v>
      </c>
      <c r="E14" s="3" t="s">
        <v>5</v>
      </c>
      <c r="F14" s="6" t="s">
        <v>37</v>
      </c>
    </row>
    <row r="15" customFormat="false" ht="14.25" hidden="false" customHeight="true" outlineLevel="0" collapsed="false">
      <c r="B15" s="6" t="s">
        <v>38</v>
      </c>
      <c r="C15" s="3" t="s">
        <v>39</v>
      </c>
      <c r="D15" s="16" t="n">
        <v>1.9</v>
      </c>
      <c r="E15" s="3" t="s">
        <v>5</v>
      </c>
      <c r="F15" s="6" t="s">
        <v>40</v>
      </c>
    </row>
    <row r="16" customFormat="false" ht="14.25" hidden="false" customHeight="true" outlineLevel="0" collapsed="false">
      <c r="B16" s="6" t="s">
        <v>41</v>
      </c>
      <c r="C16" s="3" t="s">
        <v>42</v>
      </c>
      <c r="D16" s="8" t="n">
        <v>0.96</v>
      </c>
      <c r="E16" s="3" t="s">
        <v>9</v>
      </c>
      <c r="F16" s="6" t="s">
        <v>43</v>
      </c>
    </row>
    <row r="17" customFormat="false" ht="14.25" hidden="false" customHeight="true" outlineLevel="0" collapsed="false">
      <c r="B17" s="6" t="s">
        <v>44</v>
      </c>
      <c r="C17" s="3" t="s">
        <v>18</v>
      </c>
      <c r="D17" s="10" t="n">
        <v>0.1</v>
      </c>
      <c r="E17" s="3" t="s">
        <v>5</v>
      </c>
      <c r="F17" s="6" t="s">
        <v>45</v>
      </c>
    </row>
    <row r="18" customFormat="false" ht="14.25" hidden="false" customHeight="true" outlineLevel="0" collapsed="false">
      <c r="B18" s="6" t="s">
        <v>46</v>
      </c>
      <c r="C18" s="3" t="s">
        <v>47</v>
      </c>
      <c r="D18" s="9" t="n">
        <v>20000</v>
      </c>
      <c r="E18" s="3" t="s">
        <v>9</v>
      </c>
      <c r="F18" s="6" t="s">
        <v>48</v>
      </c>
    </row>
    <row r="19" customFormat="false" ht="14.25" hidden="false" customHeight="true" outlineLevel="0" collapsed="false">
      <c r="B19" s="6" t="s">
        <v>49</v>
      </c>
      <c r="C19" s="6" t="s">
        <v>50</v>
      </c>
      <c r="D19" s="6" t="n">
        <v>25000</v>
      </c>
      <c r="E19" s="6" t="s">
        <v>5</v>
      </c>
    </row>
    <row r="20" customFormat="false" ht="14.25" hidden="false" customHeight="true" outlineLevel="0" collapsed="false">
      <c r="B20" s="11" t="s">
        <v>51</v>
      </c>
      <c r="C20" s="6" t="s">
        <v>52</v>
      </c>
      <c r="D20" s="6" t="n">
        <v>10000</v>
      </c>
      <c r="E20" s="6" t="s">
        <v>5</v>
      </c>
    </row>
    <row r="21" customFormat="false" ht="14.25" hidden="false" customHeight="true" outlineLevel="0" collapsed="false">
      <c r="B21" s="17" t="s">
        <v>53</v>
      </c>
      <c r="C21" s="17" t="s">
        <v>54</v>
      </c>
      <c r="D21" s="17" t="s">
        <v>55</v>
      </c>
      <c r="E21" s="17" t="s">
        <v>56</v>
      </c>
      <c r="F21" s="17" t="s">
        <v>57</v>
      </c>
      <c r="G21" s="17" t="s">
        <v>58</v>
      </c>
      <c r="H21" s="17" t="s">
        <v>59</v>
      </c>
      <c r="I21" s="17" t="s">
        <v>60</v>
      </c>
    </row>
    <row r="22" customFormat="false" ht="14.25" hidden="false" customHeight="true" outlineLevel="0" collapsed="false">
      <c r="B22" s="4" t="s">
        <v>61</v>
      </c>
      <c r="C22" s="5"/>
      <c r="D22" s="5"/>
      <c r="E22" s="5"/>
      <c r="F22" s="5"/>
      <c r="G22" s="5"/>
      <c r="H22" s="5"/>
      <c r="I22" s="5"/>
    </row>
    <row r="23" customFormat="false" ht="32.25" hidden="false" customHeight="true" outlineLevel="0" collapsed="false">
      <c r="B23" s="6" t="s">
        <v>4</v>
      </c>
      <c r="C23" s="6" t="s">
        <v>62</v>
      </c>
      <c r="D23" s="6" t="s">
        <v>3</v>
      </c>
      <c r="E23" s="18" t="s">
        <v>63</v>
      </c>
      <c r="F23" s="6" t="s">
        <v>64</v>
      </c>
      <c r="G23" s="6" t="s">
        <v>65</v>
      </c>
      <c r="H23" s="19" t="s">
        <v>66</v>
      </c>
      <c r="I23" s="18" t="s">
        <v>67</v>
      </c>
    </row>
    <row r="24" customFormat="false" ht="21.75" hidden="false" customHeight="true" outlineLevel="0" collapsed="false">
      <c r="B24" s="6" t="s">
        <v>8</v>
      </c>
      <c r="C24" s="6" t="s">
        <v>62</v>
      </c>
      <c r="D24" s="6" t="s">
        <v>68</v>
      </c>
      <c r="E24" s="18" t="s">
        <v>69</v>
      </c>
      <c r="F24" s="6" t="s">
        <v>70</v>
      </c>
      <c r="G24" s="6" t="s">
        <v>71</v>
      </c>
      <c r="H24" s="19" t="s">
        <v>66</v>
      </c>
      <c r="I24" s="18" t="s">
        <v>72</v>
      </c>
    </row>
    <row r="25" customFormat="false" ht="42.75" hidden="false" customHeight="true" outlineLevel="0" collapsed="false">
      <c r="B25" s="6" t="s">
        <v>12</v>
      </c>
      <c r="C25" s="6" t="s">
        <v>62</v>
      </c>
      <c r="D25" s="6" t="s">
        <v>73</v>
      </c>
      <c r="E25" s="18" t="s">
        <v>74</v>
      </c>
      <c r="F25" s="6" t="s">
        <v>64</v>
      </c>
      <c r="G25" s="6" t="s">
        <v>75</v>
      </c>
      <c r="H25" s="19" t="s">
        <v>76</v>
      </c>
      <c r="I25" s="20"/>
    </row>
    <row r="26" customFormat="false" ht="18" hidden="false" customHeight="true" outlineLevel="0" collapsed="false">
      <c r="B26" s="6" t="s">
        <v>77</v>
      </c>
      <c r="C26" s="6" t="s">
        <v>62</v>
      </c>
      <c r="D26" s="6" t="s">
        <v>78</v>
      </c>
      <c r="E26" s="18" t="s">
        <v>79</v>
      </c>
      <c r="F26" s="6" t="s">
        <v>80</v>
      </c>
      <c r="G26" s="6" t="s">
        <v>65</v>
      </c>
      <c r="H26" s="19" t="s">
        <v>66</v>
      </c>
      <c r="I26" s="20"/>
    </row>
    <row r="27" customFormat="false" ht="42.75" hidden="false" customHeight="true" outlineLevel="0" collapsed="false">
      <c r="B27" s="6" t="s">
        <v>81</v>
      </c>
      <c r="C27" s="6" t="s">
        <v>62</v>
      </c>
      <c r="D27" s="6" t="s">
        <v>82</v>
      </c>
      <c r="E27" s="18" t="s">
        <v>83</v>
      </c>
      <c r="F27" s="6" t="s">
        <v>84</v>
      </c>
      <c r="G27" s="6" t="s">
        <v>65</v>
      </c>
      <c r="H27" s="19" t="s">
        <v>66</v>
      </c>
      <c r="I27" s="20"/>
    </row>
    <row r="28" customFormat="false" ht="42.75" hidden="false" customHeight="true" outlineLevel="0" collapsed="false">
      <c r="B28" s="6" t="s">
        <v>85</v>
      </c>
      <c r="C28" s="6" t="s">
        <v>62</v>
      </c>
      <c r="D28" s="6" t="s">
        <v>86</v>
      </c>
      <c r="E28" s="18" t="s">
        <v>87</v>
      </c>
      <c r="F28" s="6" t="s">
        <v>64</v>
      </c>
      <c r="G28" s="6" t="s">
        <v>65</v>
      </c>
      <c r="H28" s="19" t="s">
        <v>66</v>
      </c>
      <c r="I28" s="20"/>
    </row>
    <row r="29" customFormat="false" ht="18" hidden="false" customHeight="true" outlineLevel="0" collapsed="false">
      <c r="B29" s="6" t="s">
        <v>88</v>
      </c>
      <c r="C29" s="6" t="s">
        <v>62</v>
      </c>
      <c r="D29" s="6" t="s">
        <v>89</v>
      </c>
      <c r="E29" s="18" t="s">
        <v>90</v>
      </c>
      <c r="F29" s="6" t="s">
        <v>80</v>
      </c>
      <c r="G29" s="6" t="s">
        <v>65</v>
      </c>
      <c r="H29" s="19" t="s">
        <v>66</v>
      </c>
      <c r="I29" s="18" t="s">
        <v>91</v>
      </c>
    </row>
    <row r="30" customFormat="false" ht="18" hidden="false" customHeight="true" outlineLevel="0" collapsed="false">
      <c r="B30" s="6" t="s">
        <v>92</v>
      </c>
      <c r="C30" s="6" t="s">
        <v>62</v>
      </c>
      <c r="D30" s="6" t="s">
        <v>93</v>
      </c>
      <c r="E30" s="18" t="s">
        <v>94</v>
      </c>
      <c r="F30" s="6" t="s">
        <v>80</v>
      </c>
      <c r="G30" s="6" t="s">
        <v>65</v>
      </c>
      <c r="H30" s="19" t="s">
        <v>66</v>
      </c>
      <c r="I30" s="18" t="s">
        <v>91</v>
      </c>
    </row>
    <row r="31" customFormat="false" ht="18" hidden="false" customHeight="true" outlineLevel="0" collapsed="false">
      <c r="B31" s="6" t="s">
        <v>95</v>
      </c>
      <c r="C31" s="6" t="s">
        <v>62</v>
      </c>
      <c r="D31" s="6" t="s">
        <v>96</v>
      </c>
      <c r="E31" s="18" t="s">
        <v>97</v>
      </c>
      <c r="F31" s="6" t="s">
        <v>64</v>
      </c>
      <c r="G31" s="6" t="s">
        <v>65</v>
      </c>
      <c r="H31" s="19" t="s">
        <v>66</v>
      </c>
      <c r="I31" s="18" t="s">
        <v>98</v>
      </c>
    </row>
    <row r="32" customFormat="false" ht="18" hidden="false" customHeight="true" outlineLevel="0" collapsed="false">
      <c r="B32" s="6" t="s">
        <v>99</v>
      </c>
      <c r="C32" s="6" t="s">
        <v>62</v>
      </c>
      <c r="D32" s="6" t="s">
        <v>100</v>
      </c>
      <c r="E32" s="18" t="s">
        <v>101</v>
      </c>
      <c r="F32" s="6" t="s">
        <v>102</v>
      </c>
      <c r="G32" s="6" t="s">
        <v>65</v>
      </c>
      <c r="H32" s="19" t="s">
        <v>66</v>
      </c>
      <c r="I32" s="20"/>
    </row>
    <row r="33" customFormat="false" ht="21.75" hidden="false" customHeight="true" outlineLevel="0" collapsed="false">
      <c r="B33" s="6" t="s">
        <v>103</v>
      </c>
      <c r="C33" s="6" t="s">
        <v>62</v>
      </c>
      <c r="D33" s="6" t="s">
        <v>104</v>
      </c>
      <c r="E33" s="18" t="s">
        <v>105</v>
      </c>
      <c r="F33" s="6" t="s">
        <v>64</v>
      </c>
      <c r="G33" s="6" t="s">
        <v>106</v>
      </c>
      <c r="H33" s="19" t="s">
        <v>66</v>
      </c>
      <c r="I33" s="20"/>
    </row>
    <row r="34" customFormat="false" ht="21.75" hidden="false" customHeight="true" outlineLevel="0" collapsed="false">
      <c r="B34" s="6" t="s">
        <v>47</v>
      </c>
      <c r="C34" s="6" t="s">
        <v>62</v>
      </c>
      <c r="D34" s="6" t="s">
        <v>46</v>
      </c>
      <c r="E34" s="18" t="s">
        <v>107</v>
      </c>
      <c r="F34" s="6" t="s">
        <v>64</v>
      </c>
      <c r="G34" s="6" t="s">
        <v>106</v>
      </c>
      <c r="H34" s="19" t="s">
        <v>66</v>
      </c>
      <c r="I34" s="18" t="s">
        <v>108</v>
      </c>
    </row>
    <row r="35" customFormat="false" ht="14.25" hidden="false" customHeight="true" outlineLevel="0" collapsed="false">
      <c r="B35" s="4" t="s">
        <v>109</v>
      </c>
      <c r="C35" s="5"/>
      <c r="D35" s="5"/>
      <c r="E35" s="5"/>
      <c r="F35" s="5"/>
      <c r="G35" s="5"/>
      <c r="H35" s="5"/>
      <c r="I35" s="5"/>
    </row>
    <row r="36" customFormat="false" ht="18" hidden="false" customHeight="true" outlineLevel="0" collapsed="false">
      <c r="B36" s="6" t="s">
        <v>110</v>
      </c>
      <c r="C36" s="6" t="s">
        <v>111</v>
      </c>
      <c r="D36" s="6" t="s">
        <v>112</v>
      </c>
      <c r="E36" s="18" t="s">
        <v>113</v>
      </c>
      <c r="F36" s="6" t="s">
        <v>64</v>
      </c>
      <c r="G36" s="6" t="s">
        <v>114</v>
      </c>
      <c r="H36" s="19" t="s">
        <v>115</v>
      </c>
      <c r="I36" s="20"/>
    </row>
    <row r="37" customFormat="false" ht="42.75" hidden="false" customHeight="true" outlineLevel="0" collapsed="false">
      <c r="B37" s="6" t="s">
        <v>116</v>
      </c>
      <c r="C37" s="6" t="s">
        <v>111</v>
      </c>
      <c r="D37" s="6" t="s">
        <v>117</v>
      </c>
      <c r="E37" s="18" t="s">
        <v>118</v>
      </c>
      <c r="F37" s="6" t="s">
        <v>119</v>
      </c>
      <c r="G37" s="6" t="s">
        <v>120</v>
      </c>
      <c r="H37" s="19" t="s">
        <v>115</v>
      </c>
      <c r="I37" s="20"/>
    </row>
    <row r="38" customFormat="false" ht="18" hidden="false" customHeight="true" outlineLevel="0" collapsed="false">
      <c r="B38" s="6" t="s">
        <v>121</v>
      </c>
      <c r="C38" s="6" t="s">
        <v>111</v>
      </c>
      <c r="D38" s="6" t="s">
        <v>122</v>
      </c>
      <c r="E38" s="18" t="s">
        <v>123</v>
      </c>
      <c r="F38" s="6" t="s">
        <v>70</v>
      </c>
      <c r="G38" s="6" t="s">
        <v>124</v>
      </c>
      <c r="H38" s="19" t="s">
        <v>76</v>
      </c>
      <c r="I38" s="20"/>
    </row>
    <row r="39" customFormat="false" ht="18" hidden="false" customHeight="true" outlineLevel="0" collapsed="false">
      <c r="B39" s="6" t="s">
        <v>39</v>
      </c>
      <c r="C39" s="6" t="s">
        <v>111</v>
      </c>
      <c r="D39" s="6" t="s">
        <v>125</v>
      </c>
      <c r="E39" s="18" t="s">
        <v>126</v>
      </c>
      <c r="F39" s="6" t="s">
        <v>84</v>
      </c>
      <c r="G39" s="6" t="s">
        <v>127</v>
      </c>
      <c r="H39" s="19" t="s">
        <v>115</v>
      </c>
      <c r="I39" s="20"/>
    </row>
    <row r="40" customFormat="false" ht="21.75" hidden="false" customHeight="true" outlineLevel="0" collapsed="false">
      <c r="B40" s="6" t="s">
        <v>16</v>
      </c>
      <c r="C40" s="6" t="s">
        <v>111</v>
      </c>
      <c r="D40" s="6" t="s">
        <v>128</v>
      </c>
      <c r="E40" s="18" t="s">
        <v>129</v>
      </c>
      <c r="F40" s="6" t="s">
        <v>70</v>
      </c>
      <c r="G40" s="6" t="s">
        <v>130</v>
      </c>
      <c r="H40" s="19" t="s">
        <v>115</v>
      </c>
      <c r="I40" s="18" t="s">
        <v>131</v>
      </c>
    </row>
    <row r="41" customFormat="false" ht="14.25" hidden="false" customHeight="true" outlineLevel="0" collapsed="false">
      <c r="B41" s="4" t="s">
        <v>132</v>
      </c>
      <c r="C41" s="5"/>
      <c r="D41" s="5"/>
      <c r="E41" s="5"/>
      <c r="F41" s="5"/>
      <c r="G41" s="5"/>
      <c r="H41" s="5"/>
      <c r="I41" s="5"/>
    </row>
    <row r="42" customFormat="false" ht="32.25" hidden="false" customHeight="true" outlineLevel="0" collapsed="false">
      <c r="B42" s="6" t="s">
        <v>133</v>
      </c>
      <c r="C42" s="6" t="s">
        <v>134</v>
      </c>
      <c r="D42" s="6" t="s">
        <v>135</v>
      </c>
      <c r="E42" s="18" t="s">
        <v>136</v>
      </c>
      <c r="F42" s="6" t="s">
        <v>70</v>
      </c>
      <c r="G42" s="6" t="s">
        <v>137</v>
      </c>
      <c r="H42" s="19" t="s">
        <v>66</v>
      </c>
      <c r="I42" s="20"/>
    </row>
    <row r="43" customFormat="false" ht="32.25" hidden="false" customHeight="true" outlineLevel="0" collapsed="false">
      <c r="B43" s="6" t="s">
        <v>138</v>
      </c>
      <c r="C43" s="6" t="s">
        <v>134</v>
      </c>
      <c r="D43" s="6" t="s">
        <v>139</v>
      </c>
      <c r="E43" s="18" t="s">
        <v>140</v>
      </c>
      <c r="F43" s="6" t="s">
        <v>70</v>
      </c>
      <c r="G43" s="6" t="s">
        <v>137</v>
      </c>
      <c r="H43" s="19" t="s">
        <v>66</v>
      </c>
      <c r="I43" s="20"/>
    </row>
    <row r="44" customFormat="false" ht="21.75" hidden="false" customHeight="true" outlineLevel="0" collapsed="false">
      <c r="B44" s="6" t="s">
        <v>141</v>
      </c>
      <c r="C44" s="6" t="s">
        <v>134</v>
      </c>
      <c r="D44" s="6" t="s">
        <v>142</v>
      </c>
      <c r="E44" s="18" t="s">
        <v>143</v>
      </c>
      <c r="F44" s="6" t="s">
        <v>70</v>
      </c>
      <c r="G44" s="6" t="s">
        <v>144</v>
      </c>
      <c r="H44" s="19" t="s">
        <v>115</v>
      </c>
      <c r="I44" s="20"/>
    </row>
    <row r="45" customFormat="false" ht="21.75" hidden="false" customHeight="true" outlineLevel="0" collapsed="false">
      <c r="B45" s="6" t="s">
        <v>145</v>
      </c>
      <c r="C45" s="6" t="s">
        <v>134</v>
      </c>
      <c r="D45" s="6" t="s">
        <v>146</v>
      </c>
      <c r="E45" s="18" t="s">
        <v>147</v>
      </c>
      <c r="F45" s="6" t="s">
        <v>70</v>
      </c>
      <c r="G45" s="6" t="s">
        <v>148</v>
      </c>
      <c r="H45" s="19" t="s">
        <v>66</v>
      </c>
      <c r="I45" s="18" t="s">
        <v>149</v>
      </c>
    </row>
    <row r="46" customFormat="false" ht="21.75" hidden="false" customHeight="true" outlineLevel="0" collapsed="false">
      <c r="B46" s="6" t="s">
        <v>150</v>
      </c>
      <c r="C46" s="6" t="s">
        <v>134</v>
      </c>
      <c r="D46" s="6" t="s">
        <v>151</v>
      </c>
      <c r="E46" s="18" t="s">
        <v>152</v>
      </c>
      <c r="F46" s="6" t="s">
        <v>153</v>
      </c>
      <c r="G46" s="6" t="s">
        <v>154</v>
      </c>
      <c r="H46" s="19" t="s">
        <v>76</v>
      </c>
      <c r="I46" s="20"/>
    </row>
    <row r="47" customFormat="false" ht="32.25" hidden="false" customHeight="true" outlineLevel="0" collapsed="false">
      <c r="B47" s="6" t="s">
        <v>24</v>
      </c>
      <c r="C47" s="6" t="s">
        <v>134</v>
      </c>
      <c r="D47" s="6" t="s">
        <v>155</v>
      </c>
      <c r="E47" s="18" t="s">
        <v>156</v>
      </c>
      <c r="F47" s="6" t="s">
        <v>70</v>
      </c>
      <c r="G47" s="6" t="s">
        <v>157</v>
      </c>
      <c r="H47" s="19" t="s">
        <v>66</v>
      </c>
      <c r="I47" s="18" t="s">
        <v>158</v>
      </c>
    </row>
    <row r="48" customFormat="false" ht="14.25" hidden="false" customHeight="true" outlineLevel="0" collapsed="false">
      <c r="B48" s="4" t="s">
        <v>159</v>
      </c>
      <c r="C48" s="5"/>
      <c r="D48" s="5"/>
      <c r="E48" s="5"/>
      <c r="F48" s="5"/>
      <c r="G48" s="5"/>
      <c r="H48" s="5"/>
      <c r="I48" s="5"/>
    </row>
    <row r="49" customFormat="false" ht="21.75" hidden="false" customHeight="true" outlineLevel="0" collapsed="false">
      <c r="B49" s="6" t="s">
        <v>36</v>
      </c>
      <c r="C49" s="6" t="s">
        <v>160</v>
      </c>
      <c r="D49" s="6" t="s">
        <v>161</v>
      </c>
      <c r="E49" s="18" t="s">
        <v>162</v>
      </c>
      <c r="F49" s="6" t="s">
        <v>64</v>
      </c>
      <c r="G49" s="6" t="s">
        <v>163</v>
      </c>
      <c r="H49" s="19" t="s">
        <v>76</v>
      </c>
      <c r="I49" s="20"/>
    </row>
    <row r="50" customFormat="false" ht="18" hidden="false" customHeight="true" outlineLevel="0" collapsed="false">
      <c r="B50" s="6" t="s">
        <v>164</v>
      </c>
      <c r="C50" s="6" t="s">
        <v>160</v>
      </c>
      <c r="D50" s="6" t="s">
        <v>165</v>
      </c>
      <c r="E50" s="18" t="s">
        <v>166</v>
      </c>
      <c r="F50" s="6" t="s">
        <v>153</v>
      </c>
      <c r="G50" s="6" t="s">
        <v>167</v>
      </c>
      <c r="H50" s="19" t="s">
        <v>66</v>
      </c>
      <c r="I50" s="20"/>
    </row>
    <row r="51" customFormat="false" ht="21.75" hidden="false" customHeight="true" outlineLevel="0" collapsed="false">
      <c r="B51" s="6" t="s">
        <v>168</v>
      </c>
      <c r="C51" s="6" t="s">
        <v>160</v>
      </c>
      <c r="D51" s="6" t="s">
        <v>169</v>
      </c>
      <c r="E51" s="18" t="s">
        <v>170</v>
      </c>
      <c r="F51" s="6" t="s">
        <v>171</v>
      </c>
      <c r="G51" s="6" t="s">
        <v>172</v>
      </c>
      <c r="H51" s="19" t="s">
        <v>76</v>
      </c>
      <c r="I51" s="20"/>
    </row>
    <row r="52" customFormat="false" ht="18" hidden="false" customHeight="true" outlineLevel="0" collapsed="false">
      <c r="B52" s="6" t="s">
        <v>42</v>
      </c>
      <c r="C52" s="6" t="s">
        <v>160</v>
      </c>
      <c r="D52" s="6" t="s">
        <v>173</v>
      </c>
      <c r="E52" s="18" t="s">
        <v>174</v>
      </c>
      <c r="F52" s="6" t="s">
        <v>70</v>
      </c>
      <c r="G52" s="6" t="s">
        <v>43</v>
      </c>
      <c r="H52" s="19" t="s">
        <v>66</v>
      </c>
      <c r="I52" s="20"/>
    </row>
    <row r="53" customFormat="false" ht="32.25" hidden="false" customHeight="true" outlineLevel="0" collapsed="false">
      <c r="B53" s="6" t="s">
        <v>175</v>
      </c>
      <c r="C53" s="6" t="s">
        <v>160</v>
      </c>
      <c r="D53" s="6" t="s">
        <v>176</v>
      </c>
      <c r="E53" s="18" t="s">
        <v>177</v>
      </c>
      <c r="F53" s="6" t="s">
        <v>70</v>
      </c>
      <c r="G53" s="6" t="s">
        <v>178</v>
      </c>
      <c r="H53" s="19" t="s">
        <v>76</v>
      </c>
      <c r="I53" s="18" t="s">
        <v>179</v>
      </c>
    </row>
    <row r="54" customFormat="false" ht="18" hidden="false" customHeight="true" outlineLevel="0" collapsed="false">
      <c r="B54" s="6" t="s">
        <v>180</v>
      </c>
      <c r="C54" s="6" t="s">
        <v>160</v>
      </c>
      <c r="D54" s="6" t="s">
        <v>181</v>
      </c>
      <c r="E54" s="18" t="s">
        <v>182</v>
      </c>
      <c r="F54" s="6" t="s">
        <v>70</v>
      </c>
      <c r="G54" s="6" t="s">
        <v>183</v>
      </c>
      <c r="H54" s="19" t="s">
        <v>76</v>
      </c>
      <c r="I54" s="18" t="s">
        <v>184</v>
      </c>
    </row>
    <row r="55" customFormat="false" ht="18" hidden="false" customHeight="true" outlineLevel="0" collapsed="false">
      <c r="B55" s="6" t="s">
        <v>185</v>
      </c>
      <c r="C55" s="6" t="s">
        <v>160</v>
      </c>
      <c r="D55" s="6" t="s">
        <v>186</v>
      </c>
      <c r="E55" s="18" t="s">
        <v>187</v>
      </c>
      <c r="F55" s="6" t="s">
        <v>70</v>
      </c>
      <c r="G55" s="6" t="s">
        <v>183</v>
      </c>
      <c r="H55" s="19" t="s">
        <v>76</v>
      </c>
      <c r="I55" s="20"/>
    </row>
    <row r="56" customFormat="false" ht="21.75" hidden="false" customHeight="true" outlineLevel="0" collapsed="false">
      <c r="B56" s="6" t="s">
        <v>188</v>
      </c>
      <c r="C56" s="6" t="s">
        <v>160</v>
      </c>
      <c r="D56" s="6" t="s">
        <v>189</v>
      </c>
      <c r="E56" s="18" t="s">
        <v>190</v>
      </c>
      <c r="F56" s="6" t="s">
        <v>64</v>
      </c>
      <c r="G56" s="6" t="s">
        <v>43</v>
      </c>
      <c r="H56" s="19" t="s">
        <v>76</v>
      </c>
      <c r="I56" s="18" t="s">
        <v>191</v>
      </c>
    </row>
    <row r="57" customFormat="false" ht="32.25" hidden="false" customHeight="true" outlineLevel="0" collapsed="false">
      <c r="B57" s="6" t="s">
        <v>192</v>
      </c>
      <c r="C57" s="6" t="s">
        <v>160</v>
      </c>
      <c r="D57" s="6" t="s">
        <v>193</v>
      </c>
      <c r="E57" s="18" t="s">
        <v>194</v>
      </c>
      <c r="F57" s="6" t="s">
        <v>70</v>
      </c>
      <c r="G57" s="6" t="s">
        <v>195</v>
      </c>
      <c r="H57" s="19" t="s">
        <v>66</v>
      </c>
      <c r="I57" s="20"/>
    </row>
    <row r="58" customFormat="false" ht="18" hidden="false" customHeight="true" outlineLevel="0" collapsed="false">
      <c r="B58" s="6" t="s">
        <v>196</v>
      </c>
      <c r="C58" s="6" t="s">
        <v>160</v>
      </c>
      <c r="D58" s="6" t="s">
        <v>197</v>
      </c>
      <c r="E58" s="18" t="s">
        <v>198</v>
      </c>
      <c r="F58" s="6" t="s">
        <v>70</v>
      </c>
      <c r="G58" s="6" t="s">
        <v>199</v>
      </c>
      <c r="H58" s="19" t="s">
        <v>66</v>
      </c>
      <c r="I58" s="20"/>
    </row>
    <row r="59" customFormat="false" ht="32.25" hidden="false" customHeight="true" outlineLevel="0" collapsed="false">
      <c r="B59" s="6" t="s">
        <v>200</v>
      </c>
      <c r="C59" s="6" t="s">
        <v>160</v>
      </c>
      <c r="D59" s="6" t="s">
        <v>201</v>
      </c>
      <c r="E59" s="18" t="s">
        <v>202</v>
      </c>
      <c r="F59" s="6" t="s">
        <v>70</v>
      </c>
      <c r="G59" s="6" t="s">
        <v>203</v>
      </c>
      <c r="H59" s="19" t="s">
        <v>66</v>
      </c>
      <c r="I59" s="18" t="s">
        <v>204</v>
      </c>
    </row>
    <row r="60" customFormat="false" ht="18" hidden="false" customHeight="true" outlineLevel="0" collapsed="false">
      <c r="B60" s="6" t="s">
        <v>29</v>
      </c>
      <c r="C60" s="6" t="s">
        <v>160</v>
      </c>
      <c r="D60" s="6" t="s">
        <v>28</v>
      </c>
      <c r="E60" s="18" t="s">
        <v>205</v>
      </c>
      <c r="F60" s="6" t="s">
        <v>70</v>
      </c>
      <c r="G60" s="6" t="s">
        <v>30</v>
      </c>
      <c r="H60" s="19" t="s">
        <v>66</v>
      </c>
      <c r="I60" s="20"/>
    </row>
    <row r="61" customFormat="false" ht="14.25" hidden="false" customHeight="true" outlineLevel="0" collapsed="false">
      <c r="B61" s="4" t="s">
        <v>206</v>
      </c>
      <c r="C61" s="5"/>
      <c r="D61" s="5"/>
      <c r="E61" s="5"/>
      <c r="F61" s="5"/>
      <c r="G61" s="5"/>
      <c r="H61" s="5"/>
      <c r="I61" s="5"/>
    </row>
    <row r="62" customFormat="false" ht="21.75" hidden="false" customHeight="true" outlineLevel="0" collapsed="false">
      <c r="B62" s="6" t="s">
        <v>207</v>
      </c>
      <c r="C62" s="6" t="s">
        <v>208</v>
      </c>
      <c r="D62" s="6" t="s">
        <v>209</v>
      </c>
      <c r="E62" s="18" t="s">
        <v>210</v>
      </c>
      <c r="F62" s="6" t="s">
        <v>64</v>
      </c>
      <c r="G62" s="6" t="s">
        <v>211</v>
      </c>
      <c r="H62" s="19" t="s">
        <v>66</v>
      </c>
      <c r="I62" s="20"/>
    </row>
    <row r="63" customFormat="false" ht="32.25" hidden="false" customHeight="true" outlineLevel="0" collapsed="false">
      <c r="B63" s="6" t="s">
        <v>212</v>
      </c>
      <c r="C63" s="6" t="s">
        <v>208</v>
      </c>
      <c r="D63" s="6" t="s">
        <v>213</v>
      </c>
      <c r="E63" s="18" t="s">
        <v>214</v>
      </c>
      <c r="F63" s="6" t="s">
        <v>215</v>
      </c>
      <c r="G63" s="6" t="s">
        <v>211</v>
      </c>
      <c r="H63" s="19" t="s">
        <v>66</v>
      </c>
      <c r="I63" s="20"/>
    </row>
    <row r="64" customFormat="false" ht="21.75" hidden="false" customHeight="true" outlineLevel="0" collapsed="false">
      <c r="B64" s="6" t="s">
        <v>216</v>
      </c>
      <c r="C64" s="6" t="s">
        <v>208</v>
      </c>
      <c r="D64" s="6" t="s">
        <v>217</v>
      </c>
      <c r="E64" s="18" t="s">
        <v>218</v>
      </c>
      <c r="F64" s="6" t="s">
        <v>171</v>
      </c>
      <c r="G64" s="6" t="s">
        <v>219</v>
      </c>
      <c r="H64" s="19" t="s">
        <v>66</v>
      </c>
      <c r="I64" s="18" t="s">
        <v>220</v>
      </c>
    </row>
    <row r="65" customFormat="false" ht="21.75" hidden="false" customHeight="true" outlineLevel="0" collapsed="false">
      <c r="B65" s="6" t="s">
        <v>221</v>
      </c>
      <c r="C65" s="6" t="s">
        <v>208</v>
      </c>
      <c r="D65" s="6" t="s">
        <v>222</v>
      </c>
      <c r="E65" s="18" t="s">
        <v>223</v>
      </c>
      <c r="F65" s="6" t="s">
        <v>171</v>
      </c>
      <c r="G65" s="6" t="s">
        <v>224</v>
      </c>
      <c r="H65" s="19" t="s">
        <v>66</v>
      </c>
      <c r="I65" s="20"/>
    </row>
    <row r="66" customFormat="false" ht="21.75" hidden="false" customHeight="true" outlineLevel="0" collapsed="false">
      <c r="B66" s="6" t="s">
        <v>225</v>
      </c>
      <c r="C66" s="6" t="s">
        <v>208</v>
      </c>
      <c r="D66" s="6" t="s">
        <v>226</v>
      </c>
      <c r="E66" s="18" t="s">
        <v>227</v>
      </c>
      <c r="F66" s="6" t="s">
        <v>171</v>
      </c>
      <c r="G66" s="6" t="s">
        <v>228</v>
      </c>
      <c r="H66" s="19" t="s">
        <v>76</v>
      </c>
      <c r="I66" s="20"/>
    </row>
    <row r="67" customFormat="false" ht="21.75" hidden="false" customHeight="true" outlineLevel="0" collapsed="false">
      <c r="B67" s="6" t="s">
        <v>229</v>
      </c>
      <c r="C67" s="6" t="s">
        <v>208</v>
      </c>
      <c r="D67" s="6" t="s">
        <v>230</v>
      </c>
      <c r="E67" s="18" t="s">
        <v>231</v>
      </c>
      <c r="F67" s="6" t="s">
        <v>171</v>
      </c>
      <c r="G67" s="6" t="s">
        <v>228</v>
      </c>
      <c r="H67" s="19" t="s">
        <v>76</v>
      </c>
      <c r="I67" s="18" t="s">
        <v>232</v>
      </c>
    </row>
    <row r="68" customFormat="false" ht="21.75" hidden="false" customHeight="true" outlineLevel="0" collapsed="false">
      <c r="B68" s="6" t="s">
        <v>233</v>
      </c>
      <c r="C68" s="6" t="s">
        <v>208</v>
      </c>
      <c r="D68" s="6" t="s">
        <v>234</v>
      </c>
      <c r="E68" s="18" t="s">
        <v>235</v>
      </c>
      <c r="F68" s="6" t="s">
        <v>70</v>
      </c>
      <c r="G68" s="6" t="s">
        <v>236</v>
      </c>
      <c r="H68" s="19" t="s">
        <v>66</v>
      </c>
      <c r="I68" s="20"/>
    </row>
    <row r="69" customFormat="false" ht="21.75" hidden="false" customHeight="true" outlineLevel="0" collapsed="false">
      <c r="B69" s="6" t="s">
        <v>237</v>
      </c>
      <c r="C69" s="6" t="s">
        <v>208</v>
      </c>
      <c r="D69" s="6" t="s">
        <v>238</v>
      </c>
      <c r="E69" s="18" t="s">
        <v>239</v>
      </c>
      <c r="F69" s="6" t="s">
        <v>70</v>
      </c>
      <c r="G69" s="6" t="s">
        <v>240</v>
      </c>
      <c r="H69" s="19" t="s">
        <v>66</v>
      </c>
      <c r="I69" s="18" t="s">
        <v>241</v>
      </c>
    </row>
  </sheetData>
  <dataValidations count="1">
    <dataValidation allowBlank="false" errorStyle="stop" operator="between" showDropDown="false" showErrorMessage="false" showInputMessage="false" sqref="D7" type="list">
      <formula1>"Conservative,Base,Bull"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6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8" min="4" style="0" width="14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2" min="12" style="0" width="22"/>
    <col collapsed="false" customWidth="true" hidden="false" outlineLevel="0" max="13" min="13" style="0" width="12"/>
  </cols>
  <sheetData>
    <row r="1" customFormat="false" ht="15.75" hidden="false" customHeight="true" outlineLevel="0" collapsed="false">
      <c r="B1" s="1" t="s">
        <v>242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L2" s="4" t="s">
        <v>243</v>
      </c>
    </row>
    <row r="3" customFormat="false" ht="14.25" hidden="false" customHeight="true" outlineLevel="0" collapsed="false">
      <c r="B3" s="4" t="s">
        <v>244</v>
      </c>
      <c r="C3" s="4" t="s">
        <v>53</v>
      </c>
      <c r="D3" s="4" t="s">
        <v>245</v>
      </c>
      <c r="E3" s="4" t="s">
        <v>246</v>
      </c>
      <c r="F3" s="4" t="s">
        <v>247</v>
      </c>
      <c r="G3" s="4" t="s">
        <v>248</v>
      </c>
      <c r="H3" s="4" t="s">
        <v>249</v>
      </c>
      <c r="I3" s="4" t="s">
        <v>250</v>
      </c>
      <c r="J3" s="4" t="s">
        <v>251</v>
      </c>
      <c r="L3" s="6" t="s">
        <v>252</v>
      </c>
      <c r="M3" s="14" t="n">
        <v>0.0224</v>
      </c>
    </row>
    <row r="4" customFormat="false" ht="14.25" hidden="false" customHeight="true" outlineLevel="0" collapsed="false">
      <c r="B4" s="11" t="s">
        <v>253</v>
      </c>
      <c r="C4" s="3" t="s">
        <v>116</v>
      </c>
      <c r="D4" s="8" t="n">
        <v>0.18</v>
      </c>
      <c r="E4" s="8" t="n">
        <v>0.27</v>
      </c>
      <c r="F4" s="8" t="n">
        <v>0.3</v>
      </c>
      <c r="G4" s="8" t="n">
        <v>0.17</v>
      </c>
      <c r="H4" s="8" t="n">
        <v>0.08</v>
      </c>
      <c r="I4" s="10" t="n">
        <f aca="false">SUM(D4:H4)</f>
        <v>1</v>
      </c>
      <c r="L4" s="6" t="s">
        <v>146</v>
      </c>
      <c r="M4" s="14" t="n">
        <v>0</v>
      </c>
    </row>
    <row r="5" customFormat="false" ht="14.25" hidden="false" customHeight="true" outlineLevel="0" collapsed="false">
      <c r="B5" s="11" t="s">
        <v>254</v>
      </c>
      <c r="C5" s="3" t="s">
        <v>116</v>
      </c>
      <c r="D5" s="7" t="n">
        <v>800000</v>
      </c>
      <c r="E5" s="7" t="n">
        <v>1300000</v>
      </c>
      <c r="F5" s="7" t="n">
        <v>1900000</v>
      </c>
      <c r="G5" s="7" t="n">
        <v>2800000</v>
      </c>
      <c r="H5" s="7" t="n">
        <v>4500000</v>
      </c>
      <c r="I5" s="7" t="n">
        <f aca="false">SUMPRODUCT($D$4:$H$4,D5:H5)</f>
        <v>1901000</v>
      </c>
      <c r="L5" s="6" t="s">
        <v>255</v>
      </c>
      <c r="M5" s="14" t="n">
        <v>0.0039</v>
      </c>
    </row>
    <row r="6" customFormat="false" ht="14.25" hidden="false" customHeight="true" outlineLevel="0" collapsed="false">
      <c r="B6" s="6" t="s">
        <v>256</v>
      </c>
      <c r="C6" s="3" t="s">
        <v>95</v>
      </c>
      <c r="D6" s="6" t="s">
        <v>257</v>
      </c>
      <c r="E6" s="6" t="s">
        <v>257</v>
      </c>
      <c r="F6" s="6" t="s">
        <v>258</v>
      </c>
      <c r="G6" s="6" t="s">
        <v>258</v>
      </c>
      <c r="H6" s="6" t="s">
        <v>258</v>
      </c>
      <c r="L6" s="6" t="s">
        <v>193</v>
      </c>
      <c r="M6" s="14" t="n">
        <v>0.0168</v>
      </c>
    </row>
    <row r="7" customFormat="false" ht="14.25" hidden="false" customHeight="true" outlineLevel="0" collapsed="false">
      <c r="B7" s="6" t="s">
        <v>259</v>
      </c>
      <c r="C7" s="3" t="s">
        <v>18</v>
      </c>
      <c r="D7" s="9" t="n">
        <f aca="false">D5*float_days/365</f>
        <v>98630.1369863014</v>
      </c>
      <c r="E7" s="9" t="n">
        <f aca="false">E5*float_days/365</f>
        <v>160273.97260274</v>
      </c>
      <c r="F7" s="9" t="n">
        <f aca="false">F5*float_days/365</f>
        <v>234246.575342466</v>
      </c>
      <c r="G7" s="9" t="n">
        <f aca="false">G5*float_days/365</f>
        <v>345205.479452055</v>
      </c>
      <c r="H7" s="9" t="n">
        <f aca="false">H5*float_days/365</f>
        <v>554794.520547945</v>
      </c>
      <c r="I7" s="7" t="n">
        <f aca="false">SUMPRODUCT($D$4:$H$4,D7:H7)</f>
        <v>234369.863013699</v>
      </c>
      <c r="L7" s="6" t="s">
        <v>260</v>
      </c>
      <c r="M7" s="21" t="n">
        <v>0.0005</v>
      </c>
    </row>
    <row r="8" customFormat="false" ht="14.25" hidden="false" customHeight="true" outlineLevel="0" collapsed="false">
      <c r="L8" s="6" t="s">
        <v>261</v>
      </c>
      <c r="M8" s="22" t="n">
        <v>45</v>
      </c>
    </row>
    <row r="9" customFormat="false" ht="14.25" hidden="false" customHeight="true" outlineLevel="0" collapsed="false">
      <c r="B9" s="4" t="s">
        <v>262</v>
      </c>
      <c r="C9" s="5"/>
      <c r="D9" s="5"/>
      <c r="E9" s="5"/>
      <c r="F9" s="5"/>
      <c r="G9" s="5"/>
      <c r="H9" s="5"/>
      <c r="I9" s="5"/>
      <c r="J9" s="5"/>
      <c r="L9" s="6" t="s">
        <v>263</v>
      </c>
      <c r="M9" s="7" t="n">
        <v>43500</v>
      </c>
    </row>
    <row r="10" customFormat="false" ht="14.25" hidden="false" customHeight="true" outlineLevel="0" collapsed="false">
      <c r="B10" s="6" t="s">
        <v>264</v>
      </c>
      <c r="C10" s="3" t="s">
        <v>16</v>
      </c>
      <c r="D10" s="9" t="n">
        <f aca="false">D5*mix_intl</f>
        <v>120000</v>
      </c>
      <c r="E10" s="9" t="n">
        <f aca="false">E5*mix_intl</f>
        <v>195000</v>
      </c>
      <c r="F10" s="9" t="n">
        <f aca="false">F5*mix_intl</f>
        <v>285000</v>
      </c>
      <c r="G10" s="9" t="n">
        <f aca="false">G5*mix_intl</f>
        <v>420000</v>
      </c>
      <c r="H10" s="9" t="n">
        <f aca="false">H5*mix_intl</f>
        <v>675000</v>
      </c>
      <c r="I10" s="7" t="n">
        <f aca="false">SUMPRODUCT($D$4:$H$4,D10:H10)</f>
        <v>285150</v>
      </c>
      <c r="J10" s="13" t="n">
        <f aca="false">I10/$I$5</f>
        <v>0.15</v>
      </c>
      <c r="L10" s="6" t="s">
        <v>265</v>
      </c>
      <c r="M10" s="22" t="n">
        <v>5</v>
      </c>
    </row>
    <row r="11" customFormat="false" ht="14.25" hidden="false" customHeight="true" outlineLevel="0" collapsed="false">
      <c r="B11" s="6" t="s">
        <v>266</v>
      </c>
      <c r="C11" s="3" t="s">
        <v>16</v>
      </c>
      <c r="D11" s="9" t="n">
        <f aca="false">D5*mix_travel</f>
        <v>80000</v>
      </c>
      <c r="E11" s="9" t="n">
        <f aca="false">E5*mix_travel</f>
        <v>130000</v>
      </c>
      <c r="F11" s="9" t="n">
        <f aca="false">F5*mix_travel</f>
        <v>190000</v>
      </c>
      <c r="G11" s="9" t="n">
        <f aca="false">G5*mix_travel</f>
        <v>280000</v>
      </c>
      <c r="H11" s="9" t="n">
        <f aca="false">H5*mix_travel</f>
        <v>450000</v>
      </c>
      <c r="I11" s="7" t="n">
        <f aca="false">SUMPRODUCT($D$4:$H$4,D11:H11)</f>
        <v>190100</v>
      </c>
      <c r="J11" s="13" t="n">
        <f aca="false">I11/$I$5</f>
        <v>0.1</v>
      </c>
      <c r="L11" s="6" t="s">
        <v>267</v>
      </c>
      <c r="M11" s="10" t="n">
        <v>0.08</v>
      </c>
    </row>
    <row r="12" customFormat="false" ht="14.25" hidden="false" customHeight="true" outlineLevel="0" collapsed="false">
      <c r="B12" s="6" t="s">
        <v>268</v>
      </c>
      <c r="C12" s="3" t="s">
        <v>16</v>
      </c>
      <c r="D12" s="9" t="n">
        <f aca="false">D5*mix_dining</f>
        <v>96000</v>
      </c>
      <c r="E12" s="9" t="n">
        <f aca="false">E5*mix_dining</f>
        <v>156000</v>
      </c>
      <c r="F12" s="9" t="n">
        <f aca="false">F5*mix_dining</f>
        <v>228000</v>
      </c>
      <c r="G12" s="9" t="n">
        <f aca="false">G5*mix_dining</f>
        <v>336000</v>
      </c>
      <c r="H12" s="9" t="n">
        <f aca="false">H5*mix_dining</f>
        <v>540000</v>
      </c>
      <c r="I12" s="7" t="n">
        <f aca="false">SUMPRODUCT($D$4:$H$4,D12:H12)</f>
        <v>228120</v>
      </c>
      <c r="J12" s="13" t="n">
        <f aca="false">I12/$I$5</f>
        <v>0.12</v>
      </c>
      <c r="L12" s="6" t="s">
        <v>269</v>
      </c>
      <c r="M12" s="7" t="n">
        <v>38900</v>
      </c>
    </row>
    <row r="13" customFormat="false" ht="14.25" hidden="false" customHeight="true" outlineLevel="0" collapsed="false">
      <c r="B13" s="6" t="s">
        <v>270</v>
      </c>
      <c r="C13" s="3" t="s">
        <v>16</v>
      </c>
      <c r="D13" s="9" t="n">
        <f aca="false">D5*mix_other</f>
        <v>504000</v>
      </c>
      <c r="E13" s="9" t="n">
        <f aca="false">E5*mix_other</f>
        <v>819000</v>
      </c>
      <c r="F13" s="9" t="n">
        <f aca="false">F5*mix_other</f>
        <v>1197000</v>
      </c>
      <c r="G13" s="9" t="n">
        <f aca="false">G5*mix_other</f>
        <v>1764000</v>
      </c>
      <c r="H13" s="9" t="n">
        <f aca="false">H5*mix_other</f>
        <v>2835000</v>
      </c>
      <c r="I13" s="7" t="n">
        <f aca="false">SUMPRODUCT($D$4:$H$4,D13:H13)</f>
        <v>1197630</v>
      </c>
      <c r="J13" s="13" t="n">
        <f aca="false">I13/$I$5</f>
        <v>0.63</v>
      </c>
      <c r="L13" s="6" t="s">
        <v>271</v>
      </c>
      <c r="M13" s="14" t="n">
        <v>0.0036</v>
      </c>
    </row>
    <row r="15" customFormat="false" ht="14.25" hidden="false" customHeight="true" outlineLevel="0" collapsed="false">
      <c r="B15" s="4" t="s">
        <v>272</v>
      </c>
      <c r="C15" s="5"/>
      <c r="D15" s="5"/>
      <c r="E15" s="5"/>
      <c r="F15" s="5"/>
      <c r="G15" s="5"/>
      <c r="H15" s="5"/>
      <c r="I15" s="5"/>
      <c r="J15" s="5"/>
    </row>
    <row r="16" customFormat="false" ht="14.25" hidden="false" customHeight="true" outlineLevel="0" collapsed="false">
      <c r="B16" s="6" t="s">
        <v>273</v>
      </c>
      <c r="C16" s="3" t="s">
        <v>274</v>
      </c>
      <c r="D16" s="23" t="n">
        <f aca="false">D5*mr_multiplier/50</f>
        <v>30400</v>
      </c>
      <c r="E16" s="23" t="n">
        <f aca="false">E5*mr_multiplier/50</f>
        <v>49400</v>
      </c>
      <c r="F16" s="23" t="n">
        <f aca="false">F5*mr_multiplier/50</f>
        <v>72200</v>
      </c>
      <c r="G16" s="23" t="n">
        <f aca="false">G5*mr_multiplier/50</f>
        <v>106400</v>
      </c>
      <c r="H16" s="23" t="n">
        <f aca="false">H5*mr_multiplier/50</f>
        <v>171000</v>
      </c>
      <c r="I16" s="12" t="n">
        <f aca="false">SUMPRODUCT($D$4:$H$4,D16:H16)</f>
        <v>72238</v>
      </c>
    </row>
    <row r="17" customFormat="false" ht="14.25" hidden="false" customHeight="true" outlineLevel="0" collapsed="false">
      <c r="B17" s="6" t="s">
        <v>275</v>
      </c>
      <c r="C17" s="3" t="s">
        <v>88</v>
      </c>
      <c r="D17" s="23" t="n">
        <f aca="false">bonus_welcome/12</f>
        <v>2083.33333333333</v>
      </c>
      <c r="E17" s="23" t="n">
        <f aca="false">bonus_welcome/12</f>
        <v>2083.33333333333</v>
      </c>
      <c r="F17" s="23" t="n">
        <f aca="false">bonus_welcome/12</f>
        <v>2083.33333333333</v>
      </c>
      <c r="G17" s="23" t="n">
        <f aca="false">bonus_welcome/12</f>
        <v>2083.33333333333</v>
      </c>
      <c r="H17" s="23" t="n">
        <f aca="false">bonus_welcome/12</f>
        <v>2083.33333333333</v>
      </c>
      <c r="I17" s="12" t="n">
        <f aca="false">SUMPRODUCT($D$4:$H$4,D17:H17)</f>
        <v>2083.33333333333</v>
      </c>
    </row>
    <row r="18" customFormat="false" ht="14.25" hidden="false" customHeight="true" outlineLevel="0" collapsed="false">
      <c r="B18" s="6" t="s">
        <v>276</v>
      </c>
      <c r="C18" s="3" t="s">
        <v>92</v>
      </c>
      <c r="D18" s="23" t="n">
        <f aca="false">bonus_renewal/12</f>
        <v>833.333333333333</v>
      </c>
      <c r="E18" s="23" t="n">
        <f aca="false">bonus_renewal/12</f>
        <v>833.333333333333</v>
      </c>
      <c r="F18" s="23" t="n">
        <f aca="false">bonus_renewal/12</f>
        <v>833.333333333333</v>
      </c>
      <c r="G18" s="23" t="n">
        <f aca="false">bonus_renewal/12</f>
        <v>833.333333333333</v>
      </c>
      <c r="H18" s="23" t="n">
        <f aca="false">bonus_renewal/12</f>
        <v>833.333333333333</v>
      </c>
      <c r="I18" s="12" t="n">
        <f aca="false">SUMPRODUCT($D$4:$H$4,D18:H18)</f>
        <v>833.333333333333</v>
      </c>
    </row>
    <row r="19" customFormat="false" ht="14.25" hidden="false" customHeight="true" outlineLevel="0" collapsed="false">
      <c r="B19" s="11" t="s">
        <v>277</v>
      </c>
      <c r="C19" s="3" t="s">
        <v>18</v>
      </c>
      <c r="D19" s="12" t="n">
        <f aca="false">SUM(D16:D18)</f>
        <v>33316.6666666667</v>
      </c>
      <c r="E19" s="12" t="n">
        <f aca="false">SUM(E16:E18)</f>
        <v>52316.6666666667</v>
      </c>
      <c r="F19" s="12" t="n">
        <f aca="false">SUM(F16:F18)</f>
        <v>75116.6666666667</v>
      </c>
      <c r="G19" s="12" t="n">
        <f aca="false">SUM(G16:G18)</f>
        <v>109316.666666667</v>
      </c>
      <c r="H19" s="12" t="n">
        <f aca="false">SUM(H16:H18)</f>
        <v>173916.666666667</v>
      </c>
      <c r="I19" s="12" t="n">
        <f aca="false">SUMPRODUCT($D$4:$H$4,D19:H19)</f>
        <v>75154.6666666667</v>
      </c>
    </row>
    <row r="21" customFormat="false" ht="14.25" hidden="false" customHeight="true" outlineLevel="0" collapsed="false">
      <c r="B21" s="4" t="s">
        <v>278</v>
      </c>
      <c r="C21" s="5"/>
      <c r="D21" s="5"/>
      <c r="E21" s="5"/>
      <c r="F21" s="5"/>
      <c r="G21" s="5"/>
      <c r="H21" s="5"/>
      <c r="I21" s="5"/>
      <c r="J21" s="5"/>
    </row>
    <row r="22" customFormat="false" ht="14.25" hidden="false" customHeight="true" outlineLevel="0" collapsed="false">
      <c r="B22" s="6" t="s">
        <v>3</v>
      </c>
      <c r="C22" s="3" t="s">
        <v>4</v>
      </c>
      <c r="D22" s="9" t="n">
        <f aca="false">fee_annual</f>
        <v>68000</v>
      </c>
      <c r="E22" s="9" t="n">
        <f aca="false">fee_annual</f>
        <v>68000</v>
      </c>
      <c r="F22" s="9" t="n">
        <f aca="false">fee_annual</f>
        <v>68000</v>
      </c>
      <c r="G22" s="9" t="n">
        <f aca="false">fee_annual</f>
        <v>68000</v>
      </c>
      <c r="H22" s="9" t="n">
        <f aca="false">fee_annual</f>
        <v>68000</v>
      </c>
      <c r="I22" s="7" t="n">
        <f aca="false">SUMPRODUCT($D$4:$H$4,D22:H22)</f>
        <v>68000</v>
      </c>
    </row>
    <row r="23" customFormat="false" ht="14.25" hidden="false" customHeight="true" outlineLevel="0" collapsed="false">
      <c r="B23" s="6" t="s">
        <v>279</v>
      </c>
      <c r="C23" s="3" t="s">
        <v>133</v>
      </c>
      <c r="D23" s="9" t="n">
        <f aca="false">D5*disc_rate</f>
        <v>17920</v>
      </c>
      <c r="E23" s="9" t="n">
        <f aca="false">E5*disc_rate</f>
        <v>29120</v>
      </c>
      <c r="F23" s="9" t="n">
        <f aca="false">F5*disc_rate</f>
        <v>42560</v>
      </c>
      <c r="G23" s="9" t="n">
        <f aca="false">G5*disc_rate</f>
        <v>62720</v>
      </c>
      <c r="H23" s="9" t="n">
        <f aca="false">H5*disc_rate</f>
        <v>100800</v>
      </c>
      <c r="I23" s="7" t="n">
        <f aca="false">SUMPRODUCT($D$4:$H$4,D23:H23)</f>
        <v>42582.4</v>
      </c>
      <c r="J23" s="13" t="n">
        <f aca="false">I23/$I$5</f>
        <v>0.0224</v>
      </c>
    </row>
    <row r="24" customFormat="false" ht="14.25" hidden="false" customHeight="true" outlineLevel="0" collapsed="false">
      <c r="B24" s="6" t="s">
        <v>280</v>
      </c>
      <c r="C24" s="3" t="s">
        <v>145</v>
      </c>
      <c r="D24" s="9" t="n">
        <f aca="false">D5*mix_intl*fx_markup</f>
        <v>0</v>
      </c>
      <c r="E24" s="9" t="n">
        <f aca="false">E5*mix_intl*fx_markup</f>
        <v>0</v>
      </c>
      <c r="F24" s="9" t="n">
        <f aca="false">F5*mix_intl*fx_markup</f>
        <v>0</v>
      </c>
      <c r="G24" s="9" t="n">
        <f aca="false">G5*mix_intl*fx_markup</f>
        <v>0</v>
      </c>
      <c r="H24" s="9" t="n">
        <f aca="false">H5*mix_intl*fx_markup</f>
        <v>0</v>
      </c>
      <c r="I24" s="7" t="n">
        <f aca="false">SUMPRODUCT($D$4:$H$4,D24:H24)</f>
        <v>0</v>
      </c>
    </row>
    <row r="25" customFormat="false" ht="14.25" hidden="false" customHeight="true" outlineLevel="0" collapsed="false">
      <c r="B25" s="6" t="s">
        <v>281</v>
      </c>
      <c r="C25" s="3" t="s">
        <v>24</v>
      </c>
      <c r="D25" s="9" t="n">
        <f aca="false">IF(D5&gt;=1900000,D5*emi_penetration*emi_margin_net,0)</f>
        <v>0</v>
      </c>
      <c r="E25" s="9" t="n">
        <f aca="false">IF(E5&gt;=1900000,E5*emi_penetration*emi_margin_net,0)</f>
        <v>0</v>
      </c>
      <c r="F25" s="9" t="n">
        <f aca="false">IF(F5&gt;=1900000,F5*emi_penetration*emi_margin_net,0)</f>
        <v>5130</v>
      </c>
      <c r="G25" s="9" t="n">
        <f aca="false">IF(G5&gt;=1900000,G5*emi_penetration*emi_margin_net,0)</f>
        <v>7560</v>
      </c>
      <c r="H25" s="9" t="n">
        <f aca="false">IF(H5&gt;=1900000,H5*emi_penetration*emi_margin_net,0)</f>
        <v>12150</v>
      </c>
      <c r="I25" s="7" t="n">
        <f aca="false">SUMPRODUCT($D$4:$H$4,D25:H25)</f>
        <v>3796.2</v>
      </c>
    </row>
    <row r="26" customFormat="false" ht="14.25" hidden="false" customHeight="true" outlineLevel="0" collapsed="false">
      <c r="B26" s="11" t="s">
        <v>282</v>
      </c>
      <c r="C26" s="3" t="s">
        <v>18</v>
      </c>
      <c r="D26" s="7" t="n">
        <f aca="false">SUM(D22:D25)</f>
        <v>85920</v>
      </c>
      <c r="E26" s="7" t="n">
        <f aca="false">SUM(E22:E25)</f>
        <v>97120</v>
      </c>
      <c r="F26" s="7" t="n">
        <f aca="false">SUM(F22:F25)</f>
        <v>115690</v>
      </c>
      <c r="G26" s="7" t="n">
        <f aca="false">SUM(G22:G25)</f>
        <v>138280</v>
      </c>
      <c r="H26" s="7" t="n">
        <f aca="false">SUM(H22:H25)</f>
        <v>180950</v>
      </c>
      <c r="I26" s="7" t="n">
        <f aca="false">SUMPRODUCT($D$4:$H$4,D26:H26)</f>
        <v>114378.6</v>
      </c>
      <c r="J26" s="13" t="n">
        <f aca="false">I26/$I$5</f>
        <v>0.0601675960021042</v>
      </c>
    </row>
    <row r="28" customFormat="false" ht="14.25" hidden="false" customHeight="true" outlineLevel="0" collapsed="false">
      <c r="B28" s="4" t="s">
        <v>283</v>
      </c>
      <c r="C28" s="5"/>
      <c r="D28" s="5"/>
      <c r="E28" s="5"/>
      <c r="F28" s="5"/>
      <c r="G28" s="5"/>
      <c r="H28" s="5"/>
      <c r="I28" s="5"/>
      <c r="J28" s="5"/>
    </row>
    <row r="29" customFormat="false" ht="14.25" hidden="false" customHeight="true" outlineLevel="0" collapsed="false">
      <c r="B29" s="6" t="s">
        <v>284</v>
      </c>
      <c r="C29" s="3" t="s">
        <v>285</v>
      </c>
      <c r="D29" s="9" t="n">
        <f aca="false">D19*mr_cpp*redemption_rate</f>
        <v>8315.84</v>
      </c>
      <c r="E29" s="9" t="n">
        <f aca="false">E19*mr_cpp*redemption_rate</f>
        <v>13058.24</v>
      </c>
      <c r="F29" s="9" t="n">
        <f aca="false">F19*mr_cpp*redemption_rate</f>
        <v>18749.12</v>
      </c>
      <c r="G29" s="9" t="n">
        <f aca="false">G19*mr_cpp*redemption_rate</f>
        <v>27285.44</v>
      </c>
      <c r="H29" s="9" t="n">
        <f aca="false">H19*mr_cpp*redemption_rate</f>
        <v>43409.6</v>
      </c>
      <c r="I29" s="7" t="n">
        <f aca="false">SUMPRODUCT($D$4:$H$4,D29:H29)</f>
        <v>18758.6048</v>
      </c>
      <c r="J29" s="13" t="n">
        <f aca="false">I29/$I$5</f>
        <v>0.00986775633876907</v>
      </c>
    </row>
    <row r="30" customFormat="false" ht="14.25" hidden="false" customHeight="true" outlineLevel="0" collapsed="false">
      <c r="B30" s="6" t="s">
        <v>286</v>
      </c>
      <c r="C30" s="3" t="s">
        <v>287</v>
      </c>
      <c r="D30" s="9" t="n">
        <f aca="false">layer1_cost</f>
        <v>38900</v>
      </c>
      <c r="E30" s="9" t="n">
        <f aca="false">layer1_cost</f>
        <v>38900</v>
      </c>
      <c r="F30" s="9" t="n">
        <f aca="false">layer1_cost</f>
        <v>38900</v>
      </c>
      <c r="G30" s="9" t="n">
        <f aca="false">layer1_cost</f>
        <v>38900</v>
      </c>
      <c r="H30" s="9" t="n">
        <f aca="false">layer1_cost</f>
        <v>38900</v>
      </c>
      <c r="I30" s="7" t="n">
        <f aca="false">SUMPRODUCT($D$4:$H$4,D30:H30)</f>
        <v>38900</v>
      </c>
      <c r="J30" s="13" t="n">
        <f aca="false">I30/$I$5</f>
        <v>0.0204629142556549</v>
      </c>
    </row>
    <row r="31" customFormat="false" ht="14.25" hidden="false" customHeight="true" outlineLevel="0" collapsed="false">
      <c r="B31" s="6" t="s">
        <v>186</v>
      </c>
      <c r="C31" s="3" t="s">
        <v>185</v>
      </c>
      <c r="D31" s="9" t="n">
        <f aca="false">D5*bizdev_rate</f>
        <v>3120</v>
      </c>
      <c r="E31" s="9" t="n">
        <f aca="false">E5*bizdev_rate</f>
        <v>5070</v>
      </c>
      <c r="F31" s="9" t="n">
        <f aca="false">F5*bizdev_rate</f>
        <v>7410</v>
      </c>
      <c r="G31" s="9" t="n">
        <f aca="false">G5*bizdev_rate</f>
        <v>10920</v>
      </c>
      <c r="H31" s="9" t="n">
        <f aca="false">H5*bizdev_rate</f>
        <v>17550</v>
      </c>
      <c r="I31" s="7" t="n">
        <f aca="false">SUMPRODUCT($D$4:$H$4,D31:H31)</f>
        <v>7413.9</v>
      </c>
      <c r="J31" s="13" t="n">
        <f aca="false">I31/$I$5</f>
        <v>0.0039</v>
      </c>
    </row>
    <row r="32" customFormat="false" ht="14.25" hidden="false" customHeight="true" outlineLevel="0" collapsed="false">
      <c r="B32" s="6" t="s">
        <v>288</v>
      </c>
      <c r="C32" s="3" t="s">
        <v>188</v>
      </c>
      <c r="D32" s="9" t="n">
        <f aca="false">cac/cac_life*new_card_pct</f>
        <v>696</v>
      </c>
      <c r="E32" s="9" t="n">
        <f aca="false">cac/cac_life*new_card_pct</f>
        <v>696</v>
      </c>
      <c r="F32" s="9" t="n">
        <f aca="false">cac/cac_life*new_card_pct</f>
        <v>696</v>
      </c>
      <c r="G32" s="9" t="n">
        <f aca="false">cac/cac_life*new_card_pct</f>
        <v>696</v>
      </c>
      <c r="H32" s="9" t="n">
        <f aca="false">cac/cac_life*new_card_pct</f>
        <v>696</v>
      </c>
      <c r="I32" s="7" t="n">
        <f aca="false">SUMPRODUCT($D$4:$H$4,D32:H32)</f>
        <v>696</v>
      </c>
    </row>
    <row r="33" customFormat="false" ht="14.25" hidden="false" customHeight="true" outlineLevel="0" collapsed="false">
      <c r="B33" s="6" t="s">
        <v>289</v>
      </c>
      <c r="C33" s="3" t="s">
        <v>192</v>
      </c>
      <c r="D33" s="9" t="n">
        <f aca="false">D7*cl_rate</f>
        <v>1656.98630136986</v>
      </c>
      <c r="E33" s="9" t="n">
        <f aca="false">E7*cl_rate</f>
        <v>2692.60273972603</v>
      </c>
      <c r="F33" s="9" t="n">
        <f aca="false">F7*cl_rate</f>
        <v>3935.34246575342</v>
      </c>
      <c r="G33" s="9" t="n">
        <f aca="false">G7*cl_rate</f>
        <v>5799.45205479452</v>
      </c>
      <c r="H33" s="9" t="n">
        <f aca="false">H7*cl_rate</f>
        <v>9320.54794520548</v>
      </c>
      <c r="I33" s="7" t="n">
        <f aca="false">SUMPRODUCT($D$4:$H$4,D33:H33)</f>
        <v>3937.41369863014</v>
      </c>
      <c r="J33" s="13" t="n">
        <f aca="false">I33/$I$5</f>
        <v>0.00207123287671233</v>
      </c>
    </row>
    <row r="34" customFormat="false" ht="14.25" hidden="false" customHeight="true" outlineLevel="0" collapsed="false">
      <c r="B34" s="6" t="s">
        <v>201</v>
      </c>
      <c r="C34" s="3" t="s">
        <v>200</v>
      </c>
      <c r="D34" s="9" t="n">
        <f aca="false">D5*fraud_rate</f>
        <v>400</v>
      </c>
      <c r="E34" s="9" t="n">
        <f aca="false">E5*fraud_rate</f>
        <v>650</v>
      </c>
      <c r="F34" s="9" t="n">
        <f aca="false">F5*fraud_rate</f>
        <v>950</v>
      </c>
      <c r="G34" s="9" t="n">
        <f aca="false">G5*fraud_rate</f>
        <v>1400</v>
      </c>
      <c r="H34" s="9" t="n">
        <f aca="false">H5*fraud_rate</f>
        <v>2250</v>
      </c>
      <c r="I34" s="7" t="n">
        <f aca="false">SUMPRODUCT($D$4:$H$4,D34:H34)</f>
        <v>950.5</v>
      </c>
    </row>
    <row r="35" customFormat="false" ht="14.25" hidden="false" customHeight="true" outlineLevel="0" collapsed="false">
      <c r="B35" s="6" t="s">
        <v>290</v>
      </c>
      <c r="C35" s="3" t="s">
        <v>29</v>
      </c>
      <c r="D35" s="9" t="n">
        <f aca="false">D7*discount_rate_cof</f>
        <v>5720.54794520548</v>
      </c>
      <c r="E35" s="9" t="n">
        <f aca="false">E7*discount_rate_cof</f>
        <v>9295.8904109589</v>
      </c>
      <c r="F35" s="9" t="n">
        <f aca="false">F7*discount_rate_cof</f>
        <v>13586.301369863</v>
      </c>
      <c r="G35" s="9" t="n">
        <f aca="false">G7*discount_rate_cof</f>
        <v>20021.9178082192</v>
      </c>
      <c r="H35" s="9" t="n">
        <f aca="false">H7*discount_rate_cof</f>
        <v>32178.0821917808</v>
      </c>
      <c r="I35" s="7" t="n">
        <f aca="false">SUMPRODUCT($D$4:$H$4,D35:H35)</f>
        <v>13593.4520547945</v>
      </c>
      <c r="J35" s="13" t="n">
        <f aca="false">I35/$I$5</f>
        <v>0.00715068493150685</v>
      </c>
    </row>
    <row r="36" customFormat="false" ht="14.25" hidden="false" customHeight="true" outlineLevel="0" collapsed="false">
      <c r="B36" s="11" t="s">
        <v>291</v>
      </c>
      <c r="C36" s="3" t="s">
        <v>18</v>
      </c>
      <c r="D36" s="7" t="n">
        <f aca="false">SUM(D29:D35)</f>
        <v>58809.3742465753</v>
      </c>
      <c r="E36" s="7" t="n">
        <f aca="false">SUM(E29:E35)</f>
        <v>70362.7331506849</v>
      </c>
      <c r="F36" s="7" t="n">
        <f aca="false">SUM(F29:F35)</f>
        <v>84226.7638356164</v>
      </c>
      <c r="G36" s="7" t="n">
        <f aca="false">SUM(G29:G35)</f>
        <v>105022.809863014</v>
      </c>
      <c r="H36" s="7" t="n">
        <f aca="false">SUM(H29:H35)</f>
        <v>144304.230136986</v>
      </c>
      <c r="I36" s="7" t="n">
        <f aca="false">SUMPRODUCT($D$4:$H$4,D36:H36)</f>
        <v>84249.8705534247</v>
      </c>
      <c r="J36" s="13" t="n">
        <f aca="false">I36/$I$5</f>
        <v>0.0443187114957521</v>
      </c>
    </row>
    <row r="38" customFormat="false" ht="14.25" hidden="false" customHeight="true" outlineLevel="0" collapsed="false">
      <c r="B38" s="4" t="s">
        <v>292</v>
      </c>
      <c r="C38" s="5"/>
      <c r="D38" s="5"/>
      <c r="E38" s="5"/>
      <c r="F38" s="5"/>
      <c r="G38" s="5"/>
      <c r="H38" s="5"/>
      <c r="I38" s="5"/>
      <c r="J38" s="5"/>
    </row>
    <row r="39" customFormat="false" ht="14.25" hidden="false" customHeight="true" outlineLevel="0" collapsed="false">
      <c r="B39" s="11" t="s">
        <v>293</v>
      </c>
      <c r="C39" s="3" t="s">
        <v>18</v>
      </c>
      <c r="D39" s="7" t="n">
        <f aca="false">D26-D36</f>
        <v>27110.6257534247</v>
      </c>
      <c r="E39" s="7" t="n">
        <f aca="false">E26-E36</f>
        <v>26757.2668493151</v>
      </c>
      <c r="F39" s="7" t="n">
        <f aca="false">F26-F36</f>
        <v>31463.2361643836</v>
      </c>
      <c r="G39" s="7" t="n">
        <f aca="false">G26-G36</f>
        <v>33257.1901369863</v>
      </c>
      <c r="H39" s="7" t="n">
        <f aca="false">H26-H36</f>
        <v>36645.7698630137</v>
      </c>
      <c r="I39" s="7" t="n">
        <f aca="false">SUMPRODUCT($D$4:$H$4,D39:H39)</f>
        <v>30128.7294465753</v>
      </c>
    </row>
    <row r="40" customFormat="false" ht="14.25" hidden="false" customHeight="true" outlineLevel="0" collapsed="false">
      <c r="B40" s="11" t="s">
        <v>294</v>
      </c>
      <c r="C40" s="3" t="s">
        <v>18</v>
      </c>
      <c r="D40" s="10" t="n">
        <f aca="false">D39/D26</f>
        <v>0.315533353740976</v>
      </c>
      <c r="E40" s="10" t="n">
        <f aca="false">E39/E26</f>
        <v>0.275507278102503</v>
      </c>
      <c r="F40" s="10" t="n">
        <f aca="false">F39/F26</f>
        <v>0.271961588420638</v>
      </c>
      <c r="G40" s="10" t="n">
        <f aca="false">G39/G26</f>
        <v>0.240506147938865</v>
      </c>
      <c r="H40" s="10" t="n">
        <f aca="false">H39/H26</f>
        <v>0.202518761331935</v>
      </c>
      <c r="I40" s="10" t="n">
        <f aca="false">I39/I26</f>
        <v>0.26341229431533</v>
      </c>
    </row>
    <row r="42" customFormat="false" ht="14.25" hidden="false" customHeight="true" outlineLevel="0" collapsed="false">
      <c r="B42" s="4" t="s">
        <v>295</v>
      </c>
      <c r="C42" s="5"/>
      <c r="D42" s="5"/>
      <c r="E42" s="5"/>
      <c r="F42" s="5"/>
      <c r="G42" s="5"/>
      <c r="H42" s="5"/>
      <c r="I42" s="5"/>
      <c r="J42" s="5"/>
    </row>
    <row r="43" customFormat="false" ht="14.25" hidden="false" customHeight="true" outlineLevel="0" collapsed="false">
      <c r="B43" s="6" t="s">
        <v>296</v>
      </c>
      <c r="C43" s="3" t="s">
        <v>175</v>
      </c>
      <c r="I43" s="14" t="n">
        <f aca="false">I29/I5</f>
        <v>0.00986775633876907</v>
      </c>
      <c r="J43" s="11" t="str">
        <f aca="false">IF(AND(I43&gt;=0.0095,I43&lt;=0.0105),"✓ PASS 0.95–1.05%","✗ FAIL — check B4/D1")</f>
        <v>✓ PASS 0.95–1.05%</v>
      </c>
    </row>
    <row r="44" customFormat="false" ht="14.25" hidden="false" customHeight="true" outlineLevel="0" collapsed="false">
      <c r="B44" s="6" t="s">
        <v>297</v>
      </c>
      <c r="I44" s="14" t="n">
        <f aca="false">I23/I5</f>
        <v>0.0224</v>
      </c>
      <c r="J44" s="11" t="str">
        <f aca="false">IF(ABS(I44-disc_rate)&lt;0.00001,"✓ PASS","✗ FAIL")</f>
        <v>✓ PASS</v>
      </c>
    </row>
    <row r="45" customFormat="false" ht="14.25" hidden="false" customHeight="true" outlineLevel="0" collapsed="false">
      <c r="B45" s="6" t="s">
        <v>298</v>
      </c>
      <c r="I45" s="7" t="n">
        <f aca="false">I5</f>
        <v>1901000</v>
      </c>
      <c r="J45" s="11" t="str">
        <f aca="false">IF(ABS(I45-1900000)&lt;15000,"✓ PASS","✗ FAIL")</f>
        <v>✓ PASS</v>
      </c>
    </row>
    <row r="46" customFormat="false" ht="14.25" hidden="false" customHeight="true" outlineLevel="0" collapsed="false">
      <c r="B46" s="6" t="s">
        <v>299</v>
      </c>
      <c r="I46" s="7" t="n">
        <f aca="false">SUM(I10:I13)</f>
        <v>1901000</v>
      </c>
      <c r="J46" s="11" t="str">
        <f aca="false">IF(ABS(I46-I5)&lt;1,"✓ PASS","✗ FAIL")</f>
        <v>✓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6" activePane="bottomRight" state="frozen"/>
      <selection pane="topLeft" activeCell="A1" activeCellId="0" sqref="A1"/>
      <selection pane="topRight" activeCell="C1" activeCellId="0" sqref="C1"/>
      <selection pane="bottomLeft" activeCell="A46" activeCellId="0" sqref="A4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46"/>
  </cols>
  <sheetData>
    <row r="1" customFormat="false" ht="15.75" hidden="false" customHeight="true" outlineLevel="0" collapsed="false">
      <c r="B1" s="1" t="s">
        <v>300</v>
      </c>
      <c r="C1" s="2"/>
      <c r="D1" s="2"/>
      <c r="E1" s="2"/>
      <c r="F1" s="2"/>
      <c r="G1" s="3" t="s">
        <v>301</v>
      </c>
      <c r="H1" s="2"/>
      <c r="I1" s="2"/>
      <c r="J1" s="2"/>
      <c r="K1" s="2"/>
      <c r="L1" s="2"/>
      <c r="M1" s="2"/>
      <c r="N1" s="2"/>
    </row>
    <row r="3" customFormat="false" ht="33" hidden="false" customHeight="true" outlineLevel="0" collapsed="false">
      <c r="B3" s="24" t="s">
        <v>53</v>
      </c>
      <c r="C3" s="24" t="s">
        <v>302</v>
      </c>
      <c r="D3" s="24" t="s">
        <v>303</v>
      </c>
      <c r="E3" s="24" t="s">
        <v>304</v>
      </c>
      <c r="F3" s="24" t="s">
        <v>305</v>
      </c>
      <c r="G3" s="24" t="s">
        <v>306</v>
      </c>
      <c r="H3" s="24" t="s">
        <v>307</v>
      </c>
      <c r="I3" s="24" t="s">
        <v>308</v>
      </c>
      <c r="J3" s="24" t="s">
        <v>309</v>
      </c>
      <c r="K3" s="24" t="s">
        <v>310</v>
      </c>
      <c r="L3" s="24" t="s">
        <v>311</v>
      </c>
      <c r="M3" s="24" t="s">
        <v>312</v>
      </c>
      <c r="N3" s="24" t="s">
        <v>313</v>
      </c>
    </row>
    <row r="4" customFormat="false" ht="14.25" hidden="false" customHeight="true" outlineLevel="0" collapsed="false">
      <c r="B4" s="4" t="s">
        <v>314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8" hidden="false" customHeight="true" outlineLevel="0" collapsed="false">
      <c r="B5" s="6" t="s">
        <v>315</v>
      </c>
      <c r="C5" s="25" t="s">
        <v>316</v>
      </c>
      <c r="D5" s="26" t="n">
        <v>1</v>
      </c>
      <c r="E5" s="26" t="s">
        <v>317</v>
      </c>
      <c r="F5" s="26" t="s">
        <v>318</v>
      </c>
      <c r="G5" s="23" t="n">
        <v>8000</v>
      </c>
      <c r="H5" s="12" t="n">
        <v>800</v>
      </c>
      <c r="I5" s="8" t="n">
        <v>1</v>
      </c>
      <c r="J5" s="8" t="n">
        <v>0</v>
      </c>
      <c r="K5" s="23" t="n">
        <f aca="false">H5*I5*(1-J5)</f>
        <v>800</v>
      </c>
      <c r="L5" s="23" t="n">
        <f aca="false">K5</f>
        <v>800</v>
      </c>
      <c r="M5" s="27" t="s">
        <v>319</v>
      </c>
      <c r="N5" s="25" t="s">
        <v>320</v>
      </c>
    </row>
    <row r="6" customFormat="false" ht="18" hidden="false" customHeight="true" outlineLevel="0" collapsed="false">
      <c r="B6" s="6" t="s">
        <v>321</v>
      </c>
      <c r="C6" s="25" t="s">
        <v>322</v>
      </c>
      <c r="D6" s="26" t="n">
        <v>1</v>
      </c>
      <c r="E6" s="26" t="s">
        <v>317</v>
      </c>
      <c r="F6" s="26" t="s">
        <v>318</v>
      </c>
      <c r="G6" s="23" t="n">
        <v>6000</v>
      </c>
      <c r="H6" s="12" t="n">
        <v>450</v>
      </c>
      <c r="I6" s="8" t="n">
        <v>1</v>
      </c>
      <c r="J6" s="8" t="n">
        <v>0</v>
      </c>
      <c r="K6" s="23" t="n">
        <f aca="false">H6*I6*(1-J6)</f>
        <v>450</v>
      </c>
      <c r="L6" s="23" t="n">
        <f aca="false">K6</f>
        <v>450</v>
      </c>
      <c r="M6" s="27" t="s">
        <v>319</v>
      </c>
      <c r="N6" s="25" t="s">
        <v>323</v>
      </c>
    </row>
    <row r="7" customFormat="false" ht="18" hidden="false" customHeight="true" outlineLevel="0" collapsed="false">
      <c r="B7" s="6" t="s">
        <v>324</v>
      </c>
      <c r="C7" s="25" t="s">
        <v>325</v>
      </c>
      <c r="D7" s="26" t="n">
        <v>1</v>
      </c>
      <c r="E7" s="26" t="s">
        <v>317</v>
      </c>
      <c r="F7" s="26" t="s">
        <v>318</v>
      </c>
      <c r="G7" s="23" t="n">
        <v>44300</v>
      </c>
      <c r="H7" s="12" t="n">
        <v>14800</v>
      </c>
      <c r="I7" s="8" t="n">
        <v>1</v>
      </c>
      <c r="J7" s="8" t="n">
        <v>0</v>
      </c>
      <c r="K7" s="23" t="n">
        <f aca="false">H7*I7*(1-J7)</f>
        <v>14800</v>
      </c>
      <c r="L7" s="23" t="n">
        <f aca="false">K7</f>
        <v>14800</v>
      </c>
      <c r="M7" s="27" t="s">
        <v>319</v>
      </c>
      <c r="N7" s="25" t="s">
        <v>326</v>
      </c>
    </row>
    <row r="8" customFormat="false" ht="18" hidden="false" customHeight="true" outlineLevel="0" collapsed="false">
      <c r="B8" s="6" t="s">
        <v>327</v>
      </c>
      <c r="C8" s="25" t="s">
        <v>328</v>
      </c>
      <c r="D8" s="26" t="n">
        <v>1</v>
      </c>
      <c r="E8" s="26" t="s">
        <v>317</v>
      </c>
      <c r="F8" s="26" t="s">
        <v>329</v>
      </c>
      <c r="G8" s="23" t="n">
        <v>3000</v>
      </c>
      <c r="H8" s="12" t="n">
        <v>500</v>
      </c>
      <c r="I8" s="8" t="n">
        <v>1</v>
      </c>
      <c r="J8" s="8" t="n">
        <v>0</v>
      </c>
      <c r="K8" s="23" t="n">
        <f aca="false">H8*I8*(1-J8)</f>
        <v>500</v>
      </c>
      <c r="L8" s="23" t="n">
        <f aca="false">K8</f>
        <v>500</v>
      </c>
      <c r="M8" s="27" t="s">
        <v>319</v>
      </c>
      <c r="N8" s="28"/>
    </row>
    <row r="9" customFormat="false" ht="18" hidden="false" customHeight="true" outlineLevel="0" collapsed="false">
      <c r="B9" s="6" t="s">
        <v>330</v>
      </c>
      <c r="C9" s="25" t="s">
        <v>331</v>
      </c>
      <c r="D9" s="26" t="n">
        <v>1</v>
      </c>
      <c r="E9" s="26" t="s">
        <v>317</v>
      </c>
      <c r="F9" s="26" t="s">
        <v>329</v>
      </c>
      <c r="G9" s="23" t="n">
        <v>2500</v>
      </c>
      <c r="H9" s="12" t="n">
        <v>0</v>
      </c>
      <c r="I9" s="8" t="n">
        <v>1</v>
      </c>
      <c r="J9" s="8" t="n">
        <v>0</v>
      </c>
      <c r="K9" s="23" t="n">
        <f aca="false">H9*I9*(1-J9)</f>
        <v>0</v>
      </c>
      <c r="L9" s="23" t="n">
        <f aca="false">K9</f>
        <v>0</v>
      </c>
      <c r="M9" s="27" t="s">
        <v>319</v>
      </c>
      <c r="N9" s="25" t="s">
        <v>332</v>
      </c>
    </row>
    <row r="10" customFormat="false" ht="18" hidden="false" customHeight="true" outlineLevel="0" collapsed="false">
      <c r="B10" s="6" t="s">
        <v>333</v>
      </c>
      <c r="C10" s="25" t="s">
        <v>334</v>
      </c>
      <c r="D10" s="26" t="n">
        <v>1</v>
      </c>
      <c r="E10" s="26" t="s">
        <v>317</v>
      </c>
      <c r="F10" s="26" t="s">
        <v>335</v>
      </c>
      <c r="G10" s="23" t="n">
        <v>3600</v>
      </c>
      <c r="H10" s="12" t="n">
        <v>1200</v>
      </c>
      <c r="I10" s="8" t="n">
        <v>1</v>
      </c>
      <c r="J10" s="8" t="n">
        <v>0</v>
      </c>
      <c r="K10" s="23" t="n">
        <f aca="false">H10*I10*(1-J10)</f>
        <v>1200</v>
      </c>
      <c r="L10" s="23" t="n">
        <f aca="false">K10</f>
        <v>1200</v>
      </c>
      <c r="M10" s="27" t="s">
        <v>319</v>
      </c>
      <c r="N10" s="28"/>
    </row>
    <row r="11" customFormat="false" ht="18" hidden="false" customHeight="true" outlineLevel="0" collapsed="false">
      <c r="B11" s="6" t="s">
        <v>336</v>
      </c>
      <c r="C11" s="25" t="s">
        <v>337</v>
      </c>
      <c r="D11" s="26" t="n">
        <v>1</v>
      </c>
      <c r="E11" s="26" t="s">
        <v>317</v>
      </c>
      <c r="F11" s="26" t="s">
        <v>338</v>
      </c>
      <c r="G11" s="23" t="n">
        <v>12000</v>
      </c>
      <c r="H11" s="12" t="n">
        <v>12000</v>
      </c>
      <c r="I11" s="8" t="n">
        <v>1</v>
      </c>
      <c r="J11" s="8" t="n">
        <v>0</v>
      </c>
      <c r="K11" s="23" t="n">
        <f aca="false">H11*I11*(1-J11)</f>
        <v>12000</v>
      </c>
      <c r="L11" s="23" t="n">
        <f aca="false">K11</f>
        <v>12000</v>
      </c>
      <c r="M11" s="27" t="s">
        <v>319</v>
      </c>
      <c r="N11" s="25" t="s">
        <v>339</v>
      </c>
    </row>
    <row r="12" customFormat="false" ht="18" hidden="false" customHeight="true" outlineLevel="0" collapsed="false">
      <c r="B12" s="6" t="s">
        <v>340</v>
      </c>
      <c r="C12" s="25" t="s">
        <v>341</v>
      </c>
      <c r="D12" s="26" t="n">
        <v>1</v>
      </c>
      <c r="E12" s="26" t="s">
        <v>317</v>
      </c>
      <c r="F12" s="26" t="s">
        <v>342</v>
      </c>
      <c r="G12" s="23" t="n">
        <v>7000</v>
      </c>
      <c r="H12" s="12" t="n">
        <v>3850</v>
      </c>
      <c r="I12" s="8" t="n">
        <v>1</v>
      </c>
      <c r="J12" s="8" t="n">
        <v>0</v>
      </c>
      <c r="K12" s="23" t="n">
        <f aca="false">H12*I12*(1-J12)</f>
        <v>3850</v>
      </c>
      <c r="L12" s="23" t="n">
        <f aca="false">K12</f>
        <v>3850</v>
      </c>
      <c r="M12" s="27" t="s">
        <v>319</v>
      </c>
      <c r="N12" s="25" t="s">
        <v>343</v>
      </c>
    </row>
    <row r="13" customFormat="false" ht="33" hidden="false" customHeight="true" outlineLevel="0" collapsed="false">
      <c r="B13" s="6" t="s">
        <v>344</v>
      </c>
      <c r="C13" s="25" t="s">
        <v>345</v>
      </c>
      <c r="D13" s="26" t="n">
        <v>1</v>
      </c>
      <c r="E13" s="26" t="s">
        <v>317</v>
      </c>
      <c r="F13" s="26" t="s">
        <v>346</v>
      </c>
      <c r="G13" s="23" t="n">
        <v>9880</v>
      </c>
      <c r="H13" s="12" t="n">
        <v>0</v>
      </c>
      <c r="I13" s="8" t="n">
        <v>1</v>
      </c>
      <c r="J13" s="8" t="n">
        <v>0</v>
      </c>
      <c r="K13" s="23" t="n">
        <f aca="false">H13*I13*(1-J13)</f>
        <v>0</v>
      </c>
      <c r="L13" s="23" t="n">
        <f aca="false">K13</f>
        <v>0</v>
      </c>
      <c r="M13" s="27" t="s">
        <v>319</v>
      </c>
      <c r="N13" s="25" t="s">
        <v>347</v>
      </c>
    </row>
    <row r="14" customFormat="false" ht="33" hidden="false" customHeight="true" outlineLevel="0" collapsed="false">
      <c r="B14" s="6" t="s">
        <v>348</v>
      </c>
      <c r="C14" s="25" t="s">
        <v>349</v>
      </c>
      <c r="D14" s="26" t="n">
        <v>1</v>
      </c>
      <c r="E14" s="26" t="s">
        <v>317</v>
      </c>
      <c r="F14" s="26" t="s">
        <v>350</v>
      </c>
      <c r="G14" s="23" t="n">
        <v>4200</v>
      </c>
      <c r="H14" s="12" t="n">
        <v>4200</v>
      </c>
      <c r="I14" s="10" t="n">
        <v>1</v>
      </c>
      <c r="J14" s="10" t="n">
        <v>0</v>
      </c>
      <c r="K14" s="23" t="n">
        <f aca="false">H14*I14*(1-J14)</f>
        <v>4200</v>
      </c>
      <c r="L14" s="23" t="n">
        <f aca="false">K14</f>
        <v>4200</v>
      </c>
      <c r="M14" s="27" t="s">
        <v>319</v>
      </c>
      <c r="N14" s="25" t="s">
        <v>351</v>
      </c>
    </row>
    <row r="15" customFormat="false" ht="33" hidden="false" customHeight="true" outlineLevel="0" collapsed="false">
      <c r="B15" s="6" t="s">
        <v>352</v>
      </c>
      <c r="C15" s="25" t="s">
        <v>353</v>
      </c>
      <c r="D15" s="26" t="n">
        <v>1</v>
      </c>
      <c r="E15" s="26" t="s">
        <v>317</v>
      </c>
      <c r="F15" s="26" t="s">
        <v>354</v>
      </c>
      <c r="G15" s="23" t="n">
        <v>2200</v>
      </c>
      <c r="H15" s="12" t="n">
        <v>1100</v>
      </c>
      <c r="I15" s="10" t="n">
        <v>1</v>
      </c>
      <c r="J15" s="10" t="n">
        <v>0</v>
      </c>
      <c r="K15" s="23" t="n">
        <f aca="false">H15*I15*(1-J15)</f>
        <v>1100</v>
      </c>
      <c r="L15" s="23" t="n">
        <f aca="false">K15</f>
        <v>1100</v>
      </c>
      <c r="M15" s="27" t="s">
        <v>319</v>
      </c>
      <c r="N15" s="25" t="s">
        <v>355</v>
      </c>
    </row>
    <row r="16" customFormat="false" ht="14.25" hidden="false" customHeight="true" outlineLevel="0" collapsed="false">
      <c r="B16" s="29"/>
      <c r="C16" s="30" t="s">
        <v>356</v>
      </c>
      <c r="D16" s="29"/>
      <c r="E16" s="29"/>
      <c r="F16" s="29"/>
      <c r="G16" s="31" t="n">
        <f aca="false">SUM(G5:G15)</f>
        <v>102680</v>
      </c>
      <c r="H16" s="29"/>
      <c r="I16" s="29"/>
      <c r="J16" s="29"/>
      <c r="K16" s="31" t="n">
        <f aca="false">SUM(K5:K15)</f>
        <v>38900</v>
      </c>
      <c r="L16" s="31" t="n">
        <f aca="false">K16</f>
        <v>38900</v>
      </c>
      <c r="M16" s="29"/>
      <c r="N16" s="29"/>
    </row>
    <row r="18" customFormat="false" ht="14.25" hidden="false" customHeight="true" outlineLevel="0" collapsed="false">
      <c r="B18" s="4" t="s">
        <v>357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8" hidden="false" customHeight="true" outlineLevel="0" collapsed="false">
      <c r="B19" s="6" t="s">
        <v>358</v>
      </c>
      <c r="C19" s="25" t="s">
        <v>359</v>
      </c>
      <c r="D19" s="26" t="n">
        <v>2</v>
      </c>
      <c r="E19" s="26" t="s">
        <v>360</v>
      </c>
      <c r="F19" s="26" t="s">
        <v>361</v>
      </c>
      <c r="G19" s="12" t="n">
        <v>2500</v>
      </c>
      <c r="H19" s="12" t="n">
        <v>1200</v>
      </c>
      <c r="I19" s="10" t="n">
        <v>1</v>
      </c>
      <c r="J19" s="10" t="n">
        <v>0</v>
      </c>
      <c r="K19" s="23" t="n">
        <f aca="false">H19*I19*(1-J19)</f>
        <v>1200</v>
      </c>
      <c r="L19" s="23" t="n">
        <f aca="false">H19*I19*(1-J19)</f>
        <v>1200</v>
      </c>
      <c r="M19" s="27" t="s">
        <v>362</v>
      </c>
      <c r="N19" s="25" t="s">
        <v>363</v>
      </c>
    </row>
    <row r="20" customFormat="false" ht="47.25" hidden="false" customHeight="true" outlineLevel="0" collapsed="false">
      <c r="B20" s="6" t="s">
        <v>364</v>
      </c>
      <c r="C20" s="25" t="s">
        <v>365</v>
      </c>
      <c r="D20" s="26" t="n">
        <v>2</v>
      </c>
      <c r="E20" s="26" t="s">
        <v>360</v>
      </c>
      <c r="F20" s="26" t="s">
        <v>361</v>
      </c>
      <c r="G20" s="12" t="n">
        <v>8000</v>
      </c>
      <c r="H20" s="12" t="n">
        <v>6000</v>
      </c>
      <c r="I20" s="10" t="n">
        <v>0.495</v>
      </c>
      <c r="J20" s="10" t="n">
        <v>0</v>
      </c>
      <c r="K20" s="23" t="n">
        <f aca="false">H20*I20*(1-J20)</f>
        <v>2970</v>
      </c>
      <c r="L20" s="23" t="n">
        <f aca="false">H20*I20*(1-J20)</f>
        <v>2970</v>
      </c>
      <c r="M20" s="27" t="s">
        <v>362</v>
      </c>
      <c r="N20" s="25" t="s">
        <v>366</v>
      </c>
    </row>
    <row r="21" customFormat="false" ht="33" hidden="false" customHeight="true" outlineLevel="0" collapsed="false">
      <c r="B21" s="6" t="s">
        <v>367</v>
      </c>
      <c r="C21" s="25" t="s">
        <v>368</v>
      </c>
      <c r="D21" s="26" t="n">
        <v>2</v>
      </c>
      <c r="E21" s="26" t="s">
        <v>360</v>
      </c>
      <c r="F21" s="26" t="s">
        <v>369</v>
      </c>
      <c r="G21" s="12" t="n">
        <v>3500</v>
      </c>
      <c r="H21" s="12" t="n">
        <v>1600</v>
      </c>
      <c r="I21" s="10" t="n">
        <v>0.45</v>
      </c>
      <c r="J21" s="10" t="n">
        <v>0.5</v>
      </c>
      <c r="K21" s="23" t="n">
        <f aca="false">H21*I21*(1-J21)</f>
        <v>360</v>
      </c>
      <c r="L21" s="23" t="n">
        <f aca="false">H21*I21*(1-J21)</f>
        <v>360</v>
      </c>
      <c r="M21" s="27" t="s">
        <v>362</v>
      </c>
      <c r="N21" s="25" t="s">
        <v>370</v>
      </c>
    </row>
    <row r="22" customFormat="false" ht="14.25" hidden="false" customHeight="true" outlineLevel="0" collapsed="false">
      <c r="B22" s="29"/>
      <c r="C22" s="30" t="s">
        <v>371</v>
      </c>
      <c r="D22" s="29"/>
      <c r="E22" s="29"/>
      <c r="F22" s="29"/>
      <c r="G22" s="31" t="n">
        <f aca="false">SUM(G19:G21)</f>
        <v>14000</v>
      </c>
      <c r="H22" s="29"/>
      <c r="I22" s="29"/>
      <c r="J22" s="29"/>
      <c r="K22" s="31" t="n">
        <f aca="false">SUM(K19:K21)</f>
        <v>4530</v>
      </c>
      <c r="L22" s="31" t="n">
        <f aca="false">SUM(L19:L21)</f>
        <v>4530</v>
      </c>
      <c r="M22" s="29"/>
      <c r="N22" s="29"/>
    </row>
    <row r="24" customFormat="false" ht="14.25" hidden="false" customHeight="true" outlineLevel="0" collapsed="false">
      <c r="B24" s="4" t="s">
        <v>372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8" hidden="false" customHeight="true" outlineLevel="0" collapsed="false">
      <c r="B25" s="6" t="s">
        <v>373</v>
      </c>
      <c r="C25" s="25" t="s">
        <v>374</v>
      </c>
      <c r="D25" s="26" t="n">
        <v>3</v>
      </c>
      <c r="E25" s="27" t="s">
        <v>375</v>
      </c>
      <c r="F25" s="26" t="s">
        <v>329</v>
      </c>
      <c r="G25" s="12" t="n">
        <v>7200</v>
      </c>
      <c r="H25" s="12" t="n">
        <v>4800</v>
      </c>
      <c r="I25" s="10" t="n">
        <v>0.6</v>
      </c>
      <c r="J25" s="10" t="n">
        <v>0.4</v>
      </c>
      <c r="K25" s="23" t="n">
        <f aca="false">IF($E25="ACTIVE",H25*I25*(1-J25),0)</f>
        <v>0</v>
      </c>
      <c r="L25" s="32" t="n">
        <f aca="false">H25*I25*(1-J25)</f>
        <v>1728</v>
      </c>
      <c r="M25" s="27" t="s">
        <v>362</v>
      </c>
      <c r="N25" s="25" t="s">
        <v>376</v>
      </c>
    </row>
    <row r="26" customFormat="false" ht="47.25" hidden="false" customHeight="true" outlineLevel="0" collapsed="false">
      <c r="B26" s="6" t="s">
        <v>377</v>
      </c>
      <c r="C26" s="25" t="s">
        <v>378</v>
      </c>
      <c r="D26" s="26" t="n">
        <v>3</v>
      </c>
      <c r="E26" s="27" t="s">
        <v>379</v>
      </c>
      <c r="F26" s="26" t="s">
        <v>329</v>
      </c>
      <c r="G26" s="12" t="n">
        <v>9600</v>
      </c>
      <c r="H26" s="12" t="n">
        <v>5400</v>
      </c>
      <c r="I26" s="10" t="n">
        <v>0.75</v>
      </c>
      <c r="J26" s="10" t="n">
        <v>0.35</v>
      </c>
      <c r="K26" s="23" t="n">
        <f aca="false">IF($E26="ACTIVE",H26*I26*(1-J26),0)</f>
        <v>2632.5</v>
      </c>
      <c r="L26" s="32" t="n">
        <f aca="false">H26*I26*(1-J26)*0.5</f>
        <v>1316.25</v>
      </c>
      <c r="M26" s="27" t="s">
        <v>362</v>
      </c>
      <c r="N26" s="25" t="s">
        <v>380</v>
      </c>
    </row>
    <row r="27" customFormat="false" ht="47.25" hidden="false" customHeight="true" outlineLevel="0" collapsed="false">
      <c r="B27" s="6" t="s">
        <v>381</v>
      </c>
      <c r="C27" s="25" t="s">
        <v>382</v>
      </c>
      <c r="D27" s="26" t="n">
        <v>3</v>
      </c>
      <c r="E27" s="27" t="s">
        <v>379</v>
      </c>
      <c r="F27" s="26" t="s">
        <v>329</v>
      </c>
      <c r="G27" s="12" t="n">
        <v>12000</v>
      </c>
      <c r="H27" s="12" t="n">
        <v>6600</v>
      </c>
      <c r="I27" s="10" t="n">
        <v>0.55</v>
      </c>
      <c r="J27" s="10" t="n">
        <v>0.4</v>
      </c>
      <c r="K27" s="23" t="n">
        <f aca="false">IF($E27="ACTIVE",H27*I27*(1-J27),0)</f>
        <v>2178</v>
      </c>
      <c r="L27" s="32" t="n">
        <f aca="false">H27*I27*(1-J27)*0.5</f>
        <v>1089</v>
      </c>
      <c r="M27" s="27" t="s">
        <v>362</v>
      </c>
      <c r="N27" s="25" t="s">
        <v>383</v>
      </c>
    </row>
    <row r="28" customFormat="false" ht="47.25" hidden="false" customHeight="true" outlineLevel="0" collapsed="false">
      <c r="B28" s="6" t="s">
        <v>384</v>
      </c>
      <c r="C28" s="25" t="s">
        <v>385</v>
      </c>
      <c r="D28" s="26" t="n">
        <v>3</v>
      </c>
      <c r="E28" s="27" t="s">
        <v>379</v>
      </c>
      <c r="F28" s="26" t="s">
        <v>386</v>
      </c>
      <c r="G28" s="12" t="n">
        <v>8000</v>
      </c>
      <c r="H28" s="12" t="n">
        <v>4200</v>
      </c>
      <c r="I28" s="10" t="n">
        <v>0.7</v>
      </c>
      <c r="J28" s="10" t="n">
        <v>0.3</v>
      </c>
      <c r="K28" s="23" t="n">
        <f aca="false">IF($E28="ACTIVE",H28*I28*(1-J28),0)</f>
        <v>2058</v>
      </c>
      <c r="L28" s="32" t="n">
        <f aca="false">H28*I28*(1-J28)*0.5</f>
        <v>1029</v>
      </c>
      <c r="M28" s="27" t="s">
        <v>362</v>
      </c>
      <c r="N28" s="25" t="s">
        <v>387</v>
      </c>
    </row>
    <row r="29" customFormat="false" ht="18" hidden="false" customHeight="true" outlineLevel="0" collapsed="false">
      <c r="B29" s="6" t="s">
        <v>388</v>
      </c>
      <c r="C29" s="25" t="s">
        <v>389</v>
      </c>
      <c r="D29" s="26" t="n">
        <v>3</v>
      </c>
      <c r="E29" s="27" t="s">
        <v>375</v>
      </c>
      <c r="F29" s="26" t="s">
        <v>329</v>
      </c>
      <c r="G29" s="12" t="n">
        <v>9800</v>
      </c>
      <c r="H29" s="12" t="n">
        <v>5400</v>
      </c>
      <c r="I29" s="10" t="n">
        <v>0.5</v>
      </c>
      <c r="J29" s="10" t="n">
        <v>0.5</v>
      </c>
      <c r="K29" s="23" t="n">
        <f aca="false">IF($E29="ACTIVE",H29*I29*(1-J29),0)</f>
        <v>0</v>
      </c>
      <c r="L29" s="32" t="n">
        <f aca="false">H29*I29*(1-J29)</f>
        <v>1350</v>
      </c>
      <c r="M29" s="27" t="s">
        <v>362</v>
      </c>
      <c r="N29" s="25" t="s">
        <v>390</v>
      </c>
    </row>
    <row r="30" customFormat="false" ht="47.25" hidden="false" customHeight="true" outlineLevel="0" collapsed="false">
      <c r="B30" s="6" t="s">
        <v>391</v>
      </c>
      <c r="C30" s="25" t="s">
        <v>392</v>
      </c>
      <c r="D30" s="26" t="n">
        <v>3</v>
      </c>
      <c r="E30" s="27" t="s">
        <v>379</v>
      </c>
      <c r="F30" s="26" t="s">
        <v>329</v>
      </c>
      <c r="G30" s="12" t="n">
        <v>9600</v>
      </c>
      <c r="H30" s="12" t="n">
        <v>5800</v>
      </c>
      <c r="I30" s="10" t="n">
        <v>0.65</v>
      </c>
      <c r="J30" s="10" t="n">
        <v>0.35</v>
      </c>
      <c r="K30" s="23" t="n">
        <f aca="false">IF($E30="ACTIVE",H30*I30*(1-J30),0)</f>
        <v>2450.5</v>
      </c>
      <c r="L30" s="32" t="n">
        <f aca="false">H30*I30*(1-J30)*0.5</f>
        <v>1225.25</v>
      </c>
      <c r="M30" s="27" t="s">
        <v>362</v>
      </c>
      <c r="N30" s="25" t="s">
        <v>393</v>
      </c>
    </row>
    <row r="31" customFormat="false" ht="14.25" hidden="false" customHeight="true" outlineLevel="0" collapsed="false">
      <c r="B31" s="29"/>
      <c r="C31" s="30" t="s">
        <v>394</v>
      </c>
      <c r="D31" s="29"/>
      <c r="E31" s="29"/>
      <c r="F31" s="29"/>
      <c r="G31" s="31" t="n">
        <f aca="false">SUMIF($E25:$E30,"ACTIVE",G25:G30)</f>
        <v>39200</v>
      </c>
      <c r="H31" s="29"/>
      <c r="I31" s="29"/>
      <c r="J31" s="29"/>
      <c r="K31" s="31" t="n">
        <f aca="false">SUM(K25:K30)</f>
        <v>9319</v>
      </c>
      <c r="L31" s="31" t="n">
        <f aca="false">SUM(L25:L30)</f>
        <v>7737.5</v>
      </c>
      <c r="M31" s="29"/>
      <c r="N31" s="29"/>
    </row>
    <row r="32" customFormat="false" ht="33" hidden="false" customHeight="true" outlineLevel="0" collapsed="false">
      <c r="C32" s="6" t="s">
        <v>395</v>
      </c>
      <c r="K32" s="23" t="n">
        <f aca="false">SUMIF($E25:$E30,"RESERVE",L25:L30)</f>
        <v>3078</v>
      </c>
      <c r="N32" s="25" t="s">
        <v>396</v>
      </c>
    </row>
    <row r="34" customFormat="false" ht="14.25" hidden="false" customHeight="true" outlineLevel="0" collapsed="false">
      <c r="B34" s="4" t="s">
        <v>397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4.25" hidden="false" customHeight="true" outlineLevel="0" collapsed="false">
      <c r="B35" s="17" t="s">
        <v>398</v>
      </c>
      <c r="C35" s="17" t="s">
        <v>399</v>
      </c>
      <c r="D35" s="17" t="s">
        <v>400</v>
      </c>
    </row>
    <row r="36" customFormat="false" ht="14.25" hidden="false" customHeight="true" outlineLevel="0" collapsed="false">
      <c r="B36" s="6" t="s">
        <v>401</v>
      </c>
      <c r="C36" s="23" t="n">
        <f aca="false">G22</f>
        <v>14000</v>
      </c>
      <c r="D36" s="23" t="n">
        <f aca="false">K22</f>
        <v>4530</v>
      </c>
    </row>
    <row r="37" customFormat="false" ht="14.25" hidden="false" customHeight="true" outlineLevel="0" collapsed="false">
      <c r="B37" s="6" t="s">
        <v>402</v>
      </c>
      <c r="C37" s="23" t="n">
        <f aca="false">G31</f>
        <v>39200</v>
      </c>
      <c r="D37" s="23" t="n">
        <f aca="false">K31</f>
        <v>9319</v>
      </c>
    </row>
    <row r="38" customFormat="false" ht="14.25" hidden="false" customHeight="true" outlineLevel="0" collapsed="false">
      <c r="B38" s="30" t="s">
        <v>403</v>
      </c>
      <c r="C38" s="31" t="n">
        <f aca="false">C36+C37</f>
        <v>53200</v>
      </c>
      <c r="D38" s="31" t="n">
        <f aca="false">D36+D37</f>
        <v>13849</v>
      </c>
    </row>
    <row r="39" customFormat="false" ht="14.25" hidden="false" customHeight="true" outlineLevel="0" collapsed="false">
      <c r="B39" s="6" t="s">
        <v>404</v>
      </c>
      <c r="D39" s="23" t="n">
        <f aca="false">cost_ceiling</f>
        <v>20000</v>
      </c>
    </row>
    <row r="40" customFormat="false" ht="14.25" hidden="false" customHeight="true" outlineLevel="0" collapsed="false">
      <c r="B40" s="11" t="s">
        <v>405</v>
      </c>
      <c r="D40" s="12" t="n">
        <f aca="false">D39-D38</f>
        <v>6151</v>
      </c>
    </row>
    <row r="41" customFormat="false" ht="14.25" hidden="false" customHeight="true" outlineLevel="0" collapsed="false">
      <c r="B41" s="11" t="s">
        <v>406</v>
      </c>
      <c r="D41" s="33" t="n">
        <f aca="false">C38/D38</f>
        <v>3.84143259441115</v>
      </c>
    </row>
    <row r="42" customFormat="false" ht="14.25" hidden="false" customHeight="true" outlineLevel="0" collapsed="false">
      <c r="B42" s="6" t="s">
        <v>407</v>
      </c>
      <c r="D42" s="23" t="n">
        <f aca="false">K16</f>
        <v>38900</v>
      </c>
    </row>
    <row r="44" customFormat="false" ht="14.25" hidden="false" customHeight="true" outlineLevel="0" collapsed="false">
      <c r="B44" s="4" t="s">
        <v>408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33" hidden="false" customHeight="true" outlineLevel="0" collapsed="false">
      <c r="B45" s="34" t="s">
        <v>409</v>
      </c>
      <c r="C45" s="34" t="s">
        <v>410</v>
      </c>
      <c r="D45" s="35" t="s">
        <v>411</v>
      </c>
      <c r="E45" s="35" t="s">
        <v>412</v>
      </c>
      <c r="F45" s="35" t="s">
        <v>413</v>
      </c>
      <c r="G45" s="35" t="s">
        <v>414</v>
      </c>
      <c r="H45" s="35" t="s">
        <v>415</v>
      </c>
    </row>
    <row r="46" customFormat="false" ht="14.25" hidden="false" customHeight="true" outlineLevel="0" collapsed="false">
      <c r="B46" s="11" t="s">
        <v>416</v>
      </c>
      <c r="C46" s="6" t="s">
        <v>417</v>
      </c>
      <c r="D46" s="36" t="n">
        <v>0.56</v>
      </c>
      <c r="E46" s="36" t="n">
        <v>0.835</v>
      </c>
      <c r="F46" s="36" t="n">
        <v>1.14</v>
      </c>
      <c r="G46" s="36" t="n">
        <v>1.303</v>
      </c>
      <c r="H46" s="36" t="n">
        <v>1.375</v>
      </c>
    </row>
    <row r="47" customFormat="false" ht="14.25" hidden="false" customHeight="true" outlineLevel="0" collapsed="false">
      <c r="B47" s="6" t="s">
        <v>253</v>
      </c>
      <c r="D47" s="8" t="n">
        <v>0.18</v>
      </c>
      <c r="E47" s="8" t="n">
        <v>0.27</v>
      </c>
      <c r="F47" s="8" t="n">
        <v>0.3</v>
      </c>
      <c r="G47" s="8" t="n">
        <v>0.17</v>
      </c>
      <c r="H47" s="8" t="n">
        <v>0.08</v>
      </c>
    </row>
    <row r="48" customFormat="false" ht="18" hidden="false" customHeight="true" outlineLevel="0" collapsed="false">
      <c r="B48" s="25" t="str">
        <f aca="false">C19</f>
        <v>Value Ledger</v>
      </c>
      <c r="C48" s="23" t="n">
        <f aca="false">H19*(1-J19)</f>
        <v>1200</v>
      </c>
      <c r="D48" s="23" t="n">
        <f aca="false">IF($E19="RESERVE",0,$H19*MIN($I19*D$46,1)*(1-$J19))</f>
        <v>672</v>
      </c>
      <c r="E48" s="23" t="n">
        <f aca="false">IF($E19="RESERVE",0,$H19*MIN($I19*E$46,1)*(1-$J19))</f>
        <v>1002</v>
      </c>
      <c r="F48" s="23" t="n">
        <f aca="false">IF($E19="RESERVE",0,$H19*MIN($I19*F$46,1)*(1-$J19))</f>
        <v>1200</v>
      </c>
      <c r="G48" s="23" t="n">
        <f aca="false">IF($E19="RESERVE",0,$H19*MIN($I19*G$46,1)*(1-$J19))</f>
        <v>1200</v>
      </c>
      <c r="H48" s="23" t="n">
        <f aca="false">IF($E19="RESERVE",0,$H19*MIN($I19*H$46,1)*(1-$J19))</f>
        <v>1200</v>
      </c>
    </row>
    <row r="49" customFormat="false" ht="18" hidden="false" customHeight="true" outlineLevel="0" collapsed="false">
      <c r="B49" s="25" t="str">
        <f aca="false">C20</f>
        <v>Progressive Milestone Ladder</v>
      </c>
      <c r="C49" s="23" t="n">
        <f aca="false">H20*(1-J20)</f>
        <v>6000</v>
      </c>
      <c r="D49" s="23" t="n">
        <f aca="false">IF($E20="RESERVE",0,$H20*MIN($I20*D$46,1)*(1-$J20))</f>
        <v>1663.2</v>
      </c>
      <c r="E49" s="23" t="n">
        <f aca="false">IF($E20="RESERVE",0,$H20*MIN($I20*E$46,1)*(1-$J20))</f>
        <v>2479.95</v>
      </c>
      <c r="F49" s="23" t="n">
        <f aca="false">IF($E20="RESERVE",0,$H20*MIN($I20*F$46,1)*(1-$J20))</f>
        <v>3385.8</v>
      </c>
      <c r="G49" s="23" t="n">
        <f aca="false">IF($E20="RESERVE",0,$H20*MIN($I20*G$46,1)*(1-$J20))</f>
        <v>3869.91</v>
      </c>
      <c r="H49" s="23" t="n">
        <f aca="false">IF($E20="RESERVE",0,$H20*MIN($I20*H$46,1)*(1-$J20))</f>
        <v>4083.75</v>
      </c>
    </row>
    <row r="50" customFormat="false" ht="18" hidden="false" customHeight="true" outlineLevel="0" collapsed="false">
      <c r="B50" s="25" t="str">
        <f aca="false">C21</f>
        <v>Big-Ticket Digital Advantage</v>
      </c>
      <c r="C50" s="23" t="n">
        <f aca="false">H21*(1-J21)</f>
        <v>800</v>
      </c>
      <c r="D50" s="23" t="n">
        <f aca="false">IF($E21="RESERVE",0,$H21*MIN($I21*D$46,1)*(1-$J21))</f>
        <v>201.6</v>
      </c>
      <c r="E50" s="23" t="n">
        <f aca="false">IF($E21="RESERVE",0,$H21*MIN($I21*E$46,1)*(1-$J21))</f>
        <v>300.6</v>
      </c>
      <c r="F50" s="23" t="n">
        <f aca="false">IF($E21="RESERVE",0,$H21*MIN($I21*F$46,1)*(1-$J21))</f>
        <v>410.4</v>
      </c>
      <c r="G50" s="23" t="n">
        <f aca="false">IF($E21="RESERVE",0,$H21*MIN($I21*G$46,1)*(1-$J21))</f>
        <v>469.08</v>
      </c>
      <c r="H50" s="23" t="n">
        <f aca="false">IF($E21="RESERVE",0,$H21*MIN($I21*H$46,1)*(1-$J21))</f>
        <v>495</v>
      </c>
    </row>
    <row r="51" customFormat="false" ht="18" hidden="false" customHeight="true" outlineLevel="0" collapsed="false">
      <c r="B51" s="25" t="str">
        <f aca="false">C25</f>
        <v>Premium Ground Mobility</v>
      </c>
      <c r="C51" s="23" t="n">
        <f aca="false">H25*(1-J25)</f>
        <v>2880</v>
      </c>
      <c r="D51" s="23" t="n">
        <f aca="false">IF($E25="RESERVE",0,$H25*MIN($I25*D$46,1)*(1-$J25))</f>
        <v>0</v>
      </c>
      <c r="E51" s="23" t="n">
        <f aca="false">IF($E25="RESERVE",0,$H25*MIN($I25*E$46,1)*(1-$J25))</f>
        <v>0</v>
      </c>
      <c r="F51" s="23" t="n">
        <f aca="false">IF($E25="RESERVE",0,$H25*MIN($I25*F$46,1)*(1-$J25))</f>
        <v>0</v>
      </c>
      <c r="G51" s="23" t="n">
        <f aca="false">IF($E25="RESERVE",0,$H25*MIN($I25*G$46,1)*(1-$J25))</f>
        <v>0</v>
      </c>
      <c r="H51" s="23" t="n">
        <f aca="false">IF($E25="RESERVE",0,$H25*MIN($I25*H$46,1)*(1-$J25))</f>
        <v>0</v>
      </c>
    </row>
    <row r="52" customFormat="false" ht="18" hidden="false" customHeight="true" outlineLevel="0" collapsed="false">
      <c r="B52" s="25" t="str">
        <f aca="false">C26</f>
        <v>Culinary Access</v>
      </c>
      <c r="C52" s="23" t="n">
        <f aca="false">H26*(1-J26)</f>
        <v>3510</v>
      </c>
      <c r="D52" s="23" t="n">
        <f aca="false">IF($E26="RESERVE",0,$H26*MIN($I26*D$46,1)*(1-$J26))</f>
        <v>1474.2</v>
      </c>
      <c r="E52" s="23" t="n">
        <f aca="false">IF($E26="RESERVE",0,$H26*MIN($I26*E$46,1)*(1-$J26))</f>
        <v>2198.1375</v>
      </c>
      <c r="F52" s="23" t="n">
        <f aca="false">IF($E26="RESERVE",0,$H26*MIN($I26*F$46,1)*(1-$J26))</f>
        <v>3001.05</v>
      </c>
      <c r="G52" s="23" t="n">
        <f aca="false">IF($E26="RESERVE",0,$H26*MIN($I26*G$46,1)*(1-$J26))</f>
        <v>3430.1475</v>
      </c>
      <c r="H52" s="23" t="n">
        <f aca="false">IF($E26="RESERVE",0,$H26*MIN($I26*H$46,1)*(1-$J26))</f>
        <v>3510</v>
      </c>
    </row>
    <row r="53" customFormat="false" ht="18" hidden="false" customHeight="true" outlineLevel="0" collapsed="false">
      <c r="B53" s="25" t="str">
        <f aca="false">C27</f>
        <v>Luxury Digital Retail</v>
      </c>
      <c r="C53" s="23" t="n">
        <f aca="false">H27*(1-J27)</f>
        <v>3960</v>
      </c>
      <c r="D53" s="23" t="n">
        <f aca="false">IF($E27="RESERVE",0,$H27*MIN($I27*D$46,1)*(1-$J27))</f>
        <v>1219.68</v>
      </c>
      <c r="E53" s="23" t="n">
        <f aca="false">IF($E27="RESERVE",0,$H27*MIN($I27*E$46,1)*(1-$J27))</f>
        <v>1818.63</v>
      </c>
      <c r="F53" s="23" t="n">
        <f aca="false">IF($E27="RESERVE",0,$H27*MIN($I27*F$46,1)*(1-$J27))</f>
        <v>2482.92</v>
      </c>
      <c r="G53" s="23" t="n">
        <f aca="false">IF($E27="RESERVE",0,$H27*MIN($I27*G$46,1)*(1-$J27))</f>
        <v>2837.934</v>
      </c>
      <c r="H53" s="23" t="n">
        <f aca="false">IF($E27="RESERVE",0,$H27*MIN($I27*H$46,1)*(1-$J27))</f>
        <v>2994.75</v>
      </c>
    </row>
    <row r="54" customFormat="false" ht="18" hidden="false" customHeight="true" outlineLevel="0" collapsed="false">
      <c r="B54" s="25" t="str">
        <f aca="false">C28</f>
        <v>Preventive Health</v>
      </c>
      <c r="C54" s="23" t="n">
        <f aca="false">H28*(1-J28)</f>
        <v>2940</v>
      </c>
      <c r="D54" s="23" t="n">
        <f aca="false">IF($E28="RESERVE",0,$H28*MIN($I28*D$46,1)*(1-$J28))</f>
        <v>1152.48</v>
      </c>
      <c r="E54" s="23" t="n">
        <f aca="false">IF($E28="RESERVE",0,$H28*MIN($I28*E$46,1)*(1-$J28))</f>
        <v>1718.43</v>
      </c>
      <c r="F54" s="23" t="n">
        <f aca="false">IF($E28="RESERVE",0,$H28*MIN($I28*F$46,1)*(1-$J28))</f>
        <v>2346.12</v>
      </c>
      <c r="G54" s="23" t="n">
        <f aca="false">IF($E28="RESERVE",0,$H28*MIN($I28*G$46,1)*(1-$J28))</f>
        <v>2681.574</v>
      </c>
      <c r="H54" s="23" t="n">
        <f aca="false">IF($E28="RESERVE",0,$H28*MIN($I28*H$46,1)*(1-$J28))</f>
        <v>2829.75</v>
      </c>
    </row>
    <row r="55" customFormat="false" ht="18" hidden="false" customHeight="true" outlineLevel="0" collapsed="false">
      <c r="B55" s="25" t="str">
        <f aca="false">C29</f>
        <v>Culture &amp; Events</v>
      </c>
      <c r="C55" s="23" t="n">
        <f aca="false">H29*(1-J29)</f>
        <v>2700</v>
      </c>
      <c r="D55" s="23" t="n">
        <f aca="false">IF($E29="RESERVE",0,$H29*MIN($I29*D$46,1)*(1-$J29))</f>
        <v>0</v>
      </c>
      <c r="E55" s="23" t="n">
        <f aca="false">IF($E29="RESERVE",0,$H29*MIN($I29*E$46,1)*(1-$J29))</f>
        <v>0</v>
      </c>
      <c r="F55" s="23" t="n">
        <f aca="false">IF($E29="RESERVE",0,$H29*MIN($I29*F$46,1)*(1-$J29))</f>
        <v>0</v>
      </c>
      <c r="G55" s="23" t="n">
        <f aca="false">IF($E29="RESERVE",0,$H29*MIN($I29*G$46,1)*(1-$J29))</f>
        <v>0</v>
      </c>
      <c r="H55" s="23" t="n">
        <f aca="false">IF($E29="RESERVE",0,$H29*MIN($I29*H$46,1)*(1-$J29))</f>
        <v>0</v>
      </c>
    </row>
    <row r="56" customFormat="false" ht="18" hidden="false" customHeight="true" outlineLevel="0" collapsed="false">
      <c r="B56" s="25" t="str">
        <f aca="false">C30</f>
        <v>Premium Household Services</v>
      </c>
      <c r="C56" s="23" t="n">
        <f aca="false">H30*(1-J30)</f>
        <v>3770</v>
      </c>
      <c r="D56" s="23" t="n">
        <f aca="false">IF($E30="RESERVE",0,$H30*MIN($I30*D$46,1)*(1-$J30))</f>
        <v>1372.28</v>
      </c>
      <c r="E56" s="23" t="n">
        <f aca="false">IF($E30="RESERVE",0,$H30*MIN($I30*E$46,1)*(1-$J30))</f>
        <v>2046.1675</v>
      </c>
      <c r="F56" s="23" t="n">
        <f aca="false">IF($E30="RESERVE",0,$H30*MIN($I30*F$46,1)*(1-$J30))</f>
        <v>2793.57</v>
      </c>
      <c r="G56" s="23" t="n">
        <f aca="false">IF($E30="RESERVE",0,$H30*MIN($I30*G$46,1)*(1-$J30))</f>
        <v>3193.0015</v>
      </c>
      <c r="H56" s="23" t="n">
        <f aca="false">IF($E30="RESERVE",0,$H30*MIN($I30*H$46,1)*(1-$J30))</f>
        <v>3369.4375</v>
      </c>
    </row>
    <row r="57" customFormat="false" ht="14.25" hidden="false" customHeight="true" outlineLevel="0" collapsed="false">
      <c r="B57" s="30" t="s">
        <v>418</v>
      </c>
      <c r="C57" s="29"/>
      <c r="D57" s="31" t="n">
        <f aca="false">SUM(D48:D56)</f>
        <v>7755.44</v>
      </c>
      <c r="E57" s="31" t="n">
        <f aca="false">SUM(E48:E56)</f>
        <v>11563.915</v>
      </c>
      <c r="F57" s="31" t="n">
        <f aca="false">SUM(F48:F56)</f>
        <v>15619.86</v>
      </c>
      <c r="G57" s="31" t="n">
        <f aca="false">SUM(G48:G56)</f>
        <v>17681.647</v>
      </c>
      <c r="H57" s="31" t="n">
        <f aca="false">SUM(H48:H56)</f>
        <v>18482.6875</v>
      </c>
    </row>
    <row r="58" customFormat="false" ht="14.25" hidden="false" customHeight="true" outlineLevel="0" collapsed="false">
      <c r="B58" s="11" t="s">
        <v>419</v>
      </c>
      <c r="D58" s="10" t="n">
        <f aca="false">D57/cost_ceiling</f>
        <v>0.387772</v>
      </c>
      <c r="E58" s="10" t="n">
        <f aca="false">E57/cost_ceiling</f>
        <v>0.57819575</v>
      </c>
      <c r="F58" s="10" t="n">
        <f aca="false">F57/cost_ceiling</f>
        <v>0.780993</v>
      </c>
      <c r="G58" s="10" t="n">
        <f aca="false">G57/cost_ceiling</f>
        <v>0.88408235</v>
      </c>
      <c r="H58" s="10" t="n">
        <f aca="false">H57/cost_ceiling</f>
        <v>0.924134375</v>
      </c>
    </row>
    <row r="59" customFormat="false" ht="14.25" hidden="false" customHeight="true" outlineLevel="0" collapsed="false">
      <c r="B59" s="11" t="s">
        <v>420</v>
      </c>
      <c r="D59" s="27" t="str">
        <f aca="false">IF(D57&lt;=cost_ceiling,"PASS","BREACH")</f>
        <v>PASS</v>
      </c>
      <c r="E59" s="27" t="str">
        <f aca="false">IF(E57&lt;=cost_ceiling,"PASS","BREACH")</f>
        <v>PASS</v>
      </c>
      <c r="F59" s="27" t="str">
        <f aca="false">IF(F57&lt;=cost_ceiling,"PASS","BREACH")</f>
        <v>PASS</v>
      </c>
      <c r="G59" s="27" t="str">
        <f aca="false">IF(G57&lt;=cost_ceiling,"PASS","BREACH")</f>
        <v>PASS</v>
      </c>
      <c r="H59" s="27" t="str">
        <f aca="false">IF(H57&lt;=cost_ceiling,"PASS","BREACH")</f>
        <v>PASS</v>
      </c>
    </row>
    <row r="60" customFormat="false" ht="14.25" hidden="false" customHeight="true" outlineLevel="0" collapsed="false">
      <c r="B60" s="6" t="s">
        <v>421</v>
      </c>
      <c r="C60" s="23" t="n">
        <f aca="false">SUMPRODUCT(D47:H47,D57:H57)</f>
        <v>13688.68924</v>
      </c>
    </row>
    <row r="62" customFormat="false" ht="14.25" hidden="false" customHeight="true" outlineLevel="0" collapsed="false">
      <c r="B62" s="4" t="s">
        <v>295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4.25" hidden="false" customHeight="true" outlineLevel="0" collapsed="false">
      <c r="B63" s="6" t="s">
        <v>422</v>
      </c>
      <c r="C63" s="23" t="n">
        <f aca="false">D38</f>
        <v>13849</v>
      </c>
      <c r="D63" s="27" t="str">
        <f aca="false">IF(D38&lt;=D39,"PASS","FAIL")</f>
        <v>PASS</v>
      </c>
    </row>
    <row r="64" customFormat="false" ht="14.25" hidden="false" customHeight="true" outlineLevel="0" collapsed="false">
      <c r="B64" s="6" t="s">
        <v>423</v>
      </c>
      <c r="C64" s="23" t="n">
        <f aca="false">D40</f>
        <v>6151</v>
      </c>
      <c r="D64" s="27" t="str">
        <f aca="false">IF(D40&gt;=0,"PASS","FAIL")</f>
        <v>PASS</v>
      </c>
    </row>
    <row r="65" customFormat="false" ht="14.25" hidden="false" customHeight="true" outlineLevel="0" collapsed="false">
      <c r="B65" s="6" t="s">
        <v>424</v>
      </c>
      <c r="C65" s="37" t="n">
        <f aca="false">D41</f>
        <v>3.84143259441115</v>
      </c>
      <c r="D65" s="27" t="str">
        <f aca="false">IF(D41&gt;=3,"PASS","FAIL")</f>
        <v>PASS</v>
      </c>
    </row>
    <row r="66" customFormat="false" ht="14.25" hidden="false" customHeight="true" outlineLevel="0" collapsed="false">
      <c r="B66" s="6" t="s">
        <v>425</v>
      </c>
      <c r="C66" s="23" t="n">
        <f aca="false">MAX(D57:H57)</f>
        <v>18482.6875</v>
      </c>
      <c r="D66" s="27" t="str">
        <f aca="false">IF(MAX(D57:H57)&lt;=cost_ceiling,"PASS","FAIL")</f>
        <v>PASS</v>
      </c>
    </row>
    <row r="67" customFormat="false" ht="14.25" hidden="false" customHeight="true" outlineLevel="0" collapsed="false">
      <c r="B67" s="6" t="s">
        <v>426</v>
      </c>
      <c r="C67" s="8" t="n">
        <f aca="false">C60/D38-1</f>
        <v>-0.0115756199003538</v>
      </c>
      <c r="D67" s="27" t="str">
        <f aca="false">IF(ABS(C60/D38-1)&lt;0.05,"PASS","FAIL")</f>
        <v>PASS</v>
      </c>
    </row>
    <row r="68" customFormat="false" ht="14.25" hidden="false" customHeight="true" outlineLevel="0" collapsed="false">
      <c r="B68" s="6" t="s">
        <v>427</v>
      </c>
      <c r="C68" s="23" t="n">
        <f aca="false">D42</f>
        <v>38900</v>
      </c>
      <c r="D68" s="27" t="str">
        <f aca="false">IF(ABS(D42-38900)&lt;1,"PASS","FAIL")</f>
        <v>PASS</v>
      </c>
    </row>
    <row r="69" customFormat="false" ht="14.25" hidden="false" customHeight="true" outlineLevel="0" collapsed="false">
      <c r="B69" s="6" t="s">
        <v>428</v>
      </c>
      <c r="C69" s="38" t="n">
        <f aca="false">COUNTIF(E25:E30,"ACTIVE")</f>
        <v>4</v>
      </c>
      <c r="D69" s="27" t="str">
        <f aca="false">IF(COUNTIF(E25:E30,"ACTIVE")=4,"PASS","FAIL")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6" min="4" style="0" width="15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5.75" hidden="false" customHeight="true" outlineLevel="0" collapsed="false">
      <c r="B1" s="1" t="s">
        <v>429</v>
      </c>
      <c r="C1" s="2"/>
      <c r="D1" s="2"/>
      <c r="E1" s="2"/>
      <c r="F1" s="2"/>
      <c r="G1" s="2"/>
      <c r="H1" s="2"/>
    </row>
    <row r="3" customFormat="false" ht="33" hidden="false" customHeight="true" outlineLevel="0" collapsed="false">
      <c r="B3" s="39" t="s">
        <v>53</v>
      </c>
      <c r="C3" s="39" t="s">
        <v>430</v>
      </c>
      <c r="D3" s="39" t="s">
        <v>431</v>
      </c>
      <c r="E3" s="39" t="s">
        <v>432</v>
      </c>
      <c r="F3" s="39" t="s">
        <v>433</v>
      </c>
      <c r="G3" s="39" t="s">
        <v>434</v>
      </c>
      <c r="H3" s="39" t="s">
        <v>435</v>
      </c>
    </row>
    <row r="4" customFormat="false" ht="14.25" hidden="false" customHeight="true" outlineLevel="0" collapsed="false">
      <c r="B4" s="6" t="s">
        <v>315</v>
      </c>
      <c r="C4" s="6" t="s">
        <v>436</v>
      </c>
      <c r="D4" s="23" t="n">
        <v>800</v>
      </c>
      <c r="E4" s="6" t="s">
        <v>437</v>
      </c>
      <c r="F4" s="23" t="n">
        <v>0</v>
      </c>
      <c r="G4" s="6" t="s">
        <v>438</v>
      </c>
      <c r="H4" s="6" t="s">
        <v>439</v>
      </c>
    </row>
    <row r="5" customFormat="false" ht="14.25" hidden="false" customHeight="true" outlineLevel="0" collapsed="false">
      <c r="B5" s="6" t="s">
        <v>321</v>
      </c>
      <c r="C5" s="6" t="s">
        <v>322</v>
      </c>
      <c r="D5" s="23" t="n">
        <v>450</v>
      </c>
      <c r="E5" s="6" t="s">
        <v>437</v>
      </c>
      <c r="F5" s="23" t="n">
        <v>0</v>
      </c>
      <c r="G5" s="6" t="s">
        <v>438</v>
      </c>
      <c r="H5" s="6" t="s">
        <v>439</v>
      </c>
    </row>
    <row r="6" customFormat="false" ht="14.25" hidden="false" customHeight="true" outlineLevel="0" collapsed="false">
      <c r="B6" s="6" t="s">
        <v>324</v>
      </c>
      <c r="C6" s="6" t="s">
        <v>325</v>
      </c>
      <c r="D6" s="23" t="n">
        <v>14800</v>
      </c>
      <c r="E6" s="11" t="s">
        <v>440</v>
      </c>
      <c r="F6" s="23" t="n">
        <v>7400</v>
      </c>
      <c r="G6" s="6" t="s">
        <v>438</v>
      </c>
      <c r="H6" s="6" t="s">
        <v>441</v>
      </c>
    </row>
    <row r="7" customFormat="false" ht="14.25" hidden="false" customHeight="true" outlineLevel="0" collapsed="false">
      <c r="B7" s="6" t="s">
        <v>327</v>
      </c>
      <c r="C7" s="6" t="s">
        <v>328</v>
      </c>
      <c r="D7" s="23" t="n">
        <v>500</v>
      </c>
      <c r="E7" s="11" t="s">
        <v>442</v>
      </c>
      <c r="F7" s="23" t="n">
        <v>500</v>
      </c>
      <c r="G7" s="6" t="s">
        <v>438</v>
      </c>
      <c r="H7" s="6" t="s">
        <v>443</v>
      </c>
    </row>
    <row r="8" customFormat="false" ht="14.25" hidden="false" customHeight="true" outlineLevel="0" collapsed="false">
      <c r="B8" s="6" t="s">
        <v>333</v>
      </c>
      <c r="C8" s="6" t="s">
        <v>444</v>
      </c>
      <c r="D8" s="23" t="n">
        <v>1200</v>
      </c>
      <c r="E8" s="6" t="s">
        <v>437</v>
      </c>
      <c r="F8" s="23" t="n">
        <v>0</v>
      </c>
      <c r="G8" s="6" t="s">
        <v>438</v>
      </c>
      <c r="H8" s="6" t="s">
        <v>445</v>
      </c>
    </row>
    <row r="9" customFormat="false" ht="14.25" hidden="false" customHeight="true" outlineLevel="0" collapsed="false">
      <c r="B9" s="6" t="s">
        <v>336</v>
      </c>
      <c r="C9" s="6" t="s">
        <v>446</v>
      </c>
      <c r="D9" s="23" t="n">
        <v>12000</v>
      </c>
      <c r="E9" s="6" t="s">
        <v>437</v>
      </c>
      <c r="F9" s="23" t="n">
        <v>0</v>
      </c>
      <c r="G9" s="6" t="s">
        <v>438</v>
      </c>
      <c r="H9" s="6" t="s">
        <v>447</v>
      </c>
    </row>
    <row r="10" customFormat="false" ht="14.25" hidden="false" customHeight="true" outlineLevel="0" collapsed="false">
      <c r="B10" s="6" t="s">
        <v>340</v>
      </c>
      <c r="C10" s="6" t="s">
        <v>448</v>
      </c>
      <c r="D10" s="23" t="n">
        <v>3850</v>
      </c>
      <c r="E10" s="11" t="s">
        <v>449</v>
      </c>
      <c r="F10" s="23" t="n">
        <v>3850</v>
      </c>
      <c r="G10" s="6" t="s">
        <v>438</v>
      </c>
      <c r="H10" s="6" t="s">
        <v>450</v>
      </c>
    </row>
    <row r="11" customFormat="false" ht="14.25" hidden="false" customHeight="true" outlineLevel="0" collapsed="false">
      <c r="B11" s="6" t="s">
        <v>348</v>
      </c>
      <c r="C11" s="6" t="s">
        <v>349</v>
      </c>
      <c r="D11" s="23" t="n">
        <v>4200</v>
      </c>
      <c r="E11" s="6" t="s">
        <v>437</v>
      </c>
      <c r="F11" s="23" t="n">
        <v>0</v>
      </c>
      <c r="G11" s="6" t="s">
        <v>438</v>
      </c>
      <c r="H11" s="6" t="s">
        <v>451</v>
      </c>
    </row>
    <row r="12" customFormat="false" ht="14.25" hidden="false" customHeight="true" outlineLevel="0" collapsed="false">
      <c r="B12" s="6" t="s">
        <v>352</v>
      </c>
      <c r="C12" s="6" t="s">
        <v>353</v>
      </c>
      <c r="D12" s="23" t="n">
        <v>1100</v>
      </c>
      <c r="E12" s="6" t="s">
        <v>437</v>
      </c>
      <c r="F12" s="23" t="n">
        <v>0</v>
      </c>
      <c r="G12" s="6" t="s">
        <v>438</v>
      </c>
      <c r="H12" s="6" t="s">
        <v>451</v>
      </c>
    </row>
    <row r="13" customFormat="false" ht="14.25" hidden="false" customHeight="true" outlineLevel="0" collapsed="false">
      <c r="B13" s="11" t="s">
        <v>452</v>
      </c>
      <c r="C13" s="5"/>
      <c r="D13" s="5"/>
      <c r="E13" s="5"/>
      <c r="F13" s="40" t="n">
        <v>11750</v>
      </c>
      <c r="G13" s="5"/>
      <c r="H13" s="5"/>
    </row>
    <row r="15" customFormat="false" ht="14.25" hidden="false" customHeight="true" outlineLevel="0" collapsed="false">
      <c r="B15" s="11" t="s">
        <v>453</v>
      </c>
      <c r="D15" s="12" t="n">
        <f aca="false">SUM(D4:D12)</f>
        <v>38900</v>
      </c>
    </row>
    <row r="16" customFormat="false" ht="14.25" hidden="false" customHeight="true" outlineLevel="0" collapsed="false">
      <c r="B16" s="11" t="s">
        <v>454</v>
      </c>
      <c r="D16" s="12" t="n">
        <f aca="false">D15-F13</f>
        <v>27150</v>
      </c>
    </row>
    <row r="18" customFormat="false" ht="14.25" hidden="false" customHeight="true" outlineLevel="0" collapsed="false">
      <c r="B18" s="4" t="s">
        <v>455</v>
      </c>
      <c r="D18" s="11" t="str">
        <f aca="false">IF(AND(COUNTIF(G4:G14,"✓ YES")&gt;=2), "PASS — Lounge + Hotel kept", "FAIL")</f>
        <v>PASS — Lounge + Hotel kept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60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G21" activeCellId="0" sqref="G21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false" outlineLevel="0" max="10" min="10" style="0" width="26"/>
    <col collapsed="false" customWidth="true" hidden="false" outlineLevel="0" max="11" min="11" style="0" width="12"/>
  </cols>
  <sheetData>
    <row r="1" customFormat="false" ht="15.75" hidden="false" customHeight="true" outlineLevel="0" collapsed="false">
      <c r="B1" s="1" t="s">
        <v>456</v>
      </c>
      <c r="C1" s="2"/>
      <c r="D1" s="3" t="s">
        <v>457</v>
      </c>
      <c r="E1" s="2"/>
      <c r="F1" s="2"/>
      <c r="G1" s="2"/>
      <c r="H1" s="2"/>
      <c r="I1" s="2"/>
      <c r="J1" s="2"/>
      <c r="K1" s="2"/>
    </row>
    <row r="2" customFormat="false" ht="14.25" hidden="false" customHeight="true" outlineLevel="0" collapsed="false">
      <c r="J2" s="4" t="s">
        <v>458</v>
      </c>
    </row>
    <row r="3" customFormat="false" ht="14.25" hidden="false" customHeight="true" outlineLevel="0" collapsed="false">
      <c r="B3" s="4" t="s">
        <v>459</v>
      </c>
      <c r="C3" s="5"/>
      <c r="D3" s="5"/>
      <c r="E3" s="5"/>
      <c r="F3" s="5"/>
      <c r="G3" s="5"/>
      <c r="H3" s="5"/>
      <c r="J3" s="6" t="s">
        <v>460</v>
      </c>
      <c r="K3" s="12" t="n">
        <v>60000</v>
      </c>
    </row>
    <row r="4" customFormat="false" ht="14.25" hidden="false" customHeight="true" outlineLevel="0" collapsed="false">
      <c r="B4" s="4" t="s">
        <v>461</v>
      </c>
      <c r="C4" s="4" t="s">
        <v>53</v>
      </c>
      <c r="D4" s="4" t="s">
        <v>462</v>
      </c>
      <c r="E4" s="4" t="s">
        <v>19</v>
      </c>
      <c r="F4" s="4" t="s">
        <v>463</v>
      </c>
      <c r="G4" s="4" t="s">
        <v>464</v>
      </c>
      <c r="H4" s="4" t="s">
        <v>465</v>
      </c>
      <c r="J4" s="6" t="s">
        <v>466</v>
      </c>
      <c r="K4" s="10" t="n">
        <v>0.55</v>
      </c>
    </row>
    <row r="5" customFormat="false" ht="33" hidden="false" customHeight="true" outlineLevel="0" collapsed="false">
      <c r="B5" s="6" t="s">
        <v>467</v>
      </c>
      <c r="C5" s="3" t="s">
        <v>468</v>
      </c>
      <c r="D5" s="10" t="n">
        <v>-0.05</v>
      </c>
      <c r="E5" s="10" t="n">
        <v>0.08</v>
      </c>
      <c r="F5" s="10" t="n">
        <v>0.15</v>
      </c>
      <c r="G5" s="10" t="n">
        <f aca="false">INDEX(D5:F5,MATCH(scenario,$D$4:$F$4,0))</f>
        <v>0.08</v>
      </c>
      <c r="H5" s="41" t="s">
        <v>469</v>
      </c>
      <c r="J5" s="6" t="s">
        <v>470</v>
      </c>
      <c r="K5" s="10" t="n">
        <v>0.6</v>
      </c>
    </row>
    <row r="6" customFormat="false" ht="18" hidden="false" customHeight="true" outlineLevel="0" collapsed="false">
      <c r="B6" s="6" t="s">
        <v>122</v>
      </c>
      <c r="C6" s="3" t="s">
        <v>471</v>
      </c>
      <c r="D6" s="10" t="n">
        <v>0.5</v>
      </c>
      <c r="E6" s="10" t="n">
        <v>0.58</v>
      </c>
      <c r="F6" s="10" t="n">
        <v>0.68</v>
      </c>
      <c r="G6" s="10" t="n">
        <f aca="false">INDEX(D6:F6,MATCH(scenario,$D$4:$F$4,0))</f>
        <v>0.58</v>
      </c>
      <c r="H6" s="41" t="s">
        <v>472</v>
      </c>
      <c r="J6" s="6" t="s">
        <v>473</v>
      </c>
      <c r="K6" s="12" t="n">
        <v>6000</v>
      </c>
    </row>
    <row r="7" customFormat="false" ht="18" hidden="false" customHeight="true" outlineLevel="0" collapsed="false">
      <c r="B7" s="6" t="s">
        <v>474</v>
      </c>
      <c r="C7" s="3" t="s">
        <v>475</v>
      </c>
      <c r="D7" s="10" t="n">
        <v>0.45</v>
      </c>
      <c r="E7" s="10" t="n">
        <v>0.6</v>
      </c>
      <c r="F7" s="10" t="n">
        <v>0.75</v>
      </c>
      <c r="G7" s="10" t="n">
        <f aca="false">INDEX(D7:F7,MATCH(scenario,$D$4:$F$4,0))</f>
        <v>0.6</v>
      </c>
      <c r="H7" s="41" t="s">
        <v>476</v>
      </c>
      <c r="J7" s="6" t="s">
        <v>477</v>
      </c>
      <c r="K7" s="10" t="n">
        <v>0.9</v>
      </c>
    </row>
    <row r="8" customFormat="false" ht="33" hidden="false" customHeight="true" outlineLevel="0" collapsed="false">
      <c r="B8" s="6" t="s">
        <v>478</v>
      </c>
      <c r="C8" s="3" t="s">
        <v>479</v>
      </c>
      <c r="D8" s="10" t="n">
        <v>0.5</v>
      </c>
      <c r="E8" s="10" t="n">
        <v>0.65</v>
      </c>
      <c r="F8" s="10" t="n">
        <v>0.8</v>
      </c>
      <c r="G8" s="10" t="n">
        <f aca="false">INDEX(D8:F8,MATCH(scenario,$D$4:$F$4,0))</f>
        <v>0.65</v>
      </c>
      <c r="H8" s="41" t="s">
        <v>480</v>
      </c>
      <c r="J8" s="6" t="s">
        <v>481</v>
      </c>
      <c r="K8" s="12" t="n">
        <v>11750</v>
      </c>
    </row>
    <row r="9" customFormat="false" ht="33" hidden="false" customHeight="true" outlineLevel="0" collapsed="false">
      <c r="B9" s="6" t="s">
        <v>482</v>
      </c>
      <c r="C9" s="3" t="s">
        <v>483</v>
      </c>
      <c r="D9" s="10" t="n">
        <v>0.11</v>
      </c>
      <c r="E9" s="10" t="n">
        <v>0.09</v>
      </c>
      <c r="F9" s="10" t="n">
        <v>0.07</v>
      </c>
      <c r="G9" s="10" t="n">
        <f aca="false">INDEX(D9:F9,MATCH(scenario,$D$4:$F$4,0))</f>
        <v>0.09</v>
      </c>
      <c r="H9" s="41" t="s">
        <v>484</v>
      </c>
      <c r="J9" s="6" t="s">
        <v>485</v>
      </c>
      <c r="K9" s="14" t="n">
        <v>0.975</v>
      </c>
    </row>
    <row r="10" customFormat="false" ht="18" hidden="false" customHeight="true" outlineLevel="0" collapsed="false">
      <c r="B10" s="6" t="s">
        <v>486</v>
      </c>
      <c r="C10" s="3" t="s">
        <v>487</v>
      </c>
      <c r="D10" s="10" t="n">
        <v>-0.1</v>
      </c>
      <c r="E10" s="10" t="n">
        <v>0.15</v>
      </c>
      <c r="F10" s="10" t="n">
        <v>0.35</v>
      </c>
      <c r="G10" s="10" t="n">
        <f aca="false">INDEX(D10:F10,MATCH(scenario,$D$4:$F$4,0))</f>
        <v>0.15</v>
      </c>
      <c r="H10" s="41" t="s">
        <v>488</v>
      </c>
      <c r="J10" s="6" t="s">
        <v>489</v>
      </c>
      <c r="K10" s="14" t="n">
        <v>0.35</v>
      </c>
    </row>
    <row r="11" customFormat="false" ht="33" hidden="false" customHeight="true" outlineLevel="0" collapsed="false">
      <c r="B11" s="6" t="s">
        <v>490</v>
      </c>
      <c r="C11" s="3" t="s">
        <v>491</v>
      </c>
      <c r="D11" s="10" t="n">
        <f aca="false">MAX(0.75,acc_base-acc_elasticity*(fee_annual-fee_baseline)/fee_baseline)</f>
        <v>0.928333333333333</v>
      </c>
      <c r="E11" s="10" t="n">
        <f aca="false">MAX(0.75,acc_base-acc_elasticity*(fee_annual-fee_baseline)/fee_baseline)</f>
        <v>0.928333333333333</v>
      </c>
      <c r="F11" s="10" t="n">
        <f aca="false">MAX(0.75,acc_base-acc_elasticity*(fee_annual-fee_baseline)/fee_baseline)</f>
        <v>0.928333333333333</v>
      </c>
      <c r="G11" s="10" t="n">
        <f aca="false">INDEX(D11:F11,MATCH(scenario,$D$4:$F$4,0))</f>
        <v>0.928333333333333</v>
      </c>
      <c r="H11" s="41" t="s">
        <v>492</v>
      </c>
    </row>
    <row r="13" customFormat="false" ht="14.25" hidden="false" customHeight="true" outlineLevel="0" collapsed="false">
      <c r="B13" s="4" t="s">
        <v>493</v>
      </c>
      <c r="C13" s="5"/>
      <c r="D13" s="5"/>
      <c r="E13" s="5"/>
      <c r="F13" s="5"/>
      <c r="G13" s="5"/>
      <c r="H13" s="5"/>
    </row>
    <row r="14" customFormat="false" ht="18" hidden="false" customHeight="true" outlineLevel="0" collapsed="false">
      <c r="B14" s="11" t="s">
        <v>494</v>
      </c>
      <c r="C14" s="3" t="s">
        <v>495</v>
      </c>
      <c r="D14" s="12" t="n">
        <f aca="false">2_Baseline_PnL!$I$39</f>
        <v>30128.7294465753</v>
      </c>
      <c r="E14" s="12" t="n">
        <f aca="false">2_Baseline_PnL!$I$39</f>
        <v>30128.7294465753</v>
      </c>
      <c r="F14" s="12" t="n">
        <f aca="false">2_Baseline_PnL!$I$39</f>
        <v>30128.7294465753</v>
      </c>
      <c r="G14" s="12" t="n">
        <f aca="false">INDEX(D14:F14,MATCH(scenario,$D$4:$F$4,0))</f>
        <v>30128.7294465753</v>
      </c>
      <c r="H14" s="41" t="s">
        <v>496</v>
      </c>
    </row>
    <row r="15" customFormat="false" ht="33" hidden="false" customHeight="true" outlineLevel="0" collapsed="false">
      <c r="B15" s="6" t="s">
        <v>497</v>
      </c>
      <c r="C15" s="3" t="s">
        <v>4</v>
      </c>
      <c r="D15" s="23" t="n">
        <f aca="false">-(fee_annual-fee_baseline)</f>
        <v>-8000</v>
      </c>
      <c r="E15" s="23" t="n">
        <f aca="false">-(fee_annual-fee_baseline)</f>
        <v>-8000</v>
      </c>
      <c r="F15" s="23" t="n">
        <f aca="false">-(fee_annual-fee_baseline)</f>
        <v>-8000</v>
      </c>
      <c r="G15" s="12" t="n">
        <f aca="false">INDEX(D15:F15,MATCH(scenario,$D$4:$F$4,0))</f>
        <v>-8000</v>
      </c>
      <c r="H15" s="41" t="s">
        <v>498</v>
      </c>
    </row>
    <row r="16" customFormat="false" ht="14.25" hidden="false" customHeight="true" outlineLevel="0" collapsed="false">
      <c r="B16" s="11" t="s">
        <v>499</v>
      </c>
      <c r="C16" s="42"/>
      <c r="D16" s="12" t="n">
        <f aca="false">D14+D15</f>
        <v>22128.7294465753</v>
      </c>
      <c r="E16" s="12" t="n">
        <f aca="false">E14+E15</f>
        <v>22128.7294465753</v>
      </c>
      <c r="F16" s="12" t="n">
        <f aca="false">F14+F15</f>
        <v>22128.7294465753</v>
      </c>
      <c r="G16" s="12" t="n">
        <f aca="false">INDEX(D16:F16,MATCH(scenario,$D$4:$F$4,0))</f>
        <v>22128.7294465753</v>
      </c>
    </row>
    <row r="18" customFormat="false" ht="33" hidden="false" customHeight="true" outlineLevel="0" collapsed="false">
      <c r="B18" s="6" t="s">
        <v>500</v>
      </c>
      <c r="C18" s="3" t="s">
        <v>4</v>
      </c>
      <c r="D18" s="23" t="n">
        <f aca="false">fee_annual-fee_baseline</f>
        <v>8000</v>
      </c>
      <c r="E18" s="23" t="n">
        <f aca="false">fee_annual-fee_baseline</f>
        <v>8000</v>
      </c>
      <c r="F18" s="23" t="n">
        <f aca="false">fee_annual-fee_baseline</f>
        <v>8000</v>
      </c>
      <c r="G18" s="12" t="n">
        <f aca="false">INDEX(D18:F18,MATCH(scenario,$D$4:$F$4,0))</f>
        <v>8000</v>
      </c>
      <c r="H18" s="41" t="s">
        <v>501</v>
      </c>
    </row>
    <row r="19" customFormat="false" ht="14.25" hidden="false" customHeight="true" outlineLevel="0" collapsed="false">
      <c r="B19" s="6" t="s">
        <v>502</v>
      </c>
      <c r="C19" s="3" t="s">
        <v>133</v>
      </c>
      <c r="D19" s="23" t="n">
        <f aca="false">2_Baseline_PnL!$I$5*D5*disc_rate</f>
        <v>-2129.12</v>
      </c>
      <c r="E19" s="23" t="n">
        <f aca="false">2_Baseline_PnL!$I$5*E5*disc_rate</f>
        <v>3406.592</v>
      </c>
      <c r="F19" s="23" t="n">
        <f aca="false">2_Baseline_PnL!$I$5*F5*disc_rate</f>
        <v>6387.36</v>
      </c>
      <c r="G19" s="12" t="n">
        <f aca="false">INDEX(D19:F19,MATCH(scenario,$D$4:$F$4,0))</f>
        <v>3406.592</v>
      </c>
    </row>
    <row r="20" customFormat="false" ht="14.25" hidden="false" customHeight="true" outlineLevel="0" collapsed="false">
      <c r="B20" s="6" t="s">
        <v>503</v>
      </c>
      <c r="C20" s="3" t="s">
        <v>24</v>
      </c>
      <c r="D20" s="23" t="n">
        <f aca="false">2_Baseline_PnL!$I$25*D5</f>
        <v>-189.81</v>
      </c>
      <c r="E20" s="23" t="n">
        <f aca="false">2_Baseline_PnL!$I$25*E5</f>
        <v>303.696</v>
      </c>
      <c r="F20" s="23" t="n">
        <f aca="false">2_Baseline_PnL!$I$25*F5</f>
        <v>569.43</v>
      </c>
      <c r="G20" s="12" t="n">
        <f aca="false">INDEX(D20:F20,MATCH(scenario,$D$4:$F$4,0))</f>
        <v>303.696</v>
      </c>
    </row>
    <row r="21" customFormat="false" ht="14.25" hidden="false" customHeight="true" outlineLevel="0" collapsed="false">
      <c r="B21" s="6" t="s">
        <v>504</v>
      </c>
      <c r="C21" s="3" t="s">
        <v>505</v>
      </c>
      <c r="D21" s="23" t="n">
        <v>901.53024</v>
      </c>
      <c r="E21" s="23" t="n">
        <v>-1442.448384</v>
      </c>
      <c r="F21" s="23" t="n">
        <v>-2704.59072</v>
      </c>
      <c r="G21" s="12" t="n">
        <f aca="false">INDEX(D21:F21,MATCH(scenario,$D$4:$F$4,0))</f>
        <v>-1442.448384</v>
      </c>
    </row>
    <row r="22" customFormat="false" ht="14.25" hidden="false" customHeight="true" outlineLevel="0" collapsed="false">
      <c r="B22" s="6" t="s">
        <v>506</v>
      </c>
      <c r="C22" s="3" t="s">
        <v>185</v>
      </c>
      <c r="D22" s="23" t="n">
        <v>370.695</v>
      </c>
      <c r="E22" s="23" t="n">
        <v>-593.112</v>
      </c>
      <c r="F22" s="23" t="n">
        <v>-1112.085</v>
      </c>
      <c r="G22" s="12" t="n">
        <f aca="false">INDEX(D22:F22,MATCH(scenario,$D$4:$F$4,0))</f>
        <v>-593.112</v>
      </c>
    </row>
    <row r="23" customFormat="false" ht="14.25" hidden="false" customHeight="true" outlineLevel="0" collapsed="false">
      <c r="B23" s="6" t="s">
        <v>507</v>
      </c>
      <c r="C23" s="3" t="s">
        <v>200</v>
      </c>
      <c r="D23" s="23" t="n">
        <v>47.525</v>
      </c>
      <c r="E23" s="23" t="n">
        <v>-76.04</v>
      </c>
      <c r="F23" s="23" t="n">
        <v>-142.575</v>
      </c>
      <c r="G23" s="12" t="n">
        <f aca="false">INDEX(D23:F23,MATCH(scenario,$D$4:$F$4,0))</f>
        <v>-76.04</v>
      </c>
    </row>
    <row r="24" customFormat="false" ht="14.25" hidden="false" customHeight="true" outlineLevel="0" collapsed="false">
      <c r="B24" s="6" t="s">
        <v>508</v>
      </c>
      <c r="C24" s="3" t="s">
        <v>509</v>
      </c>
      <c r="D24" s="23" t="n">
        <v>876.543287671233</v>
      </c>
      <c r="E24" s="23" t="n">
        <v>-1402.46926027397</v>
      </c>
      <c r="F24" s="23" t="n">
        <v>-2629.6298630137</v>
      </c>
      <c r="G24" s="12" t="n">
        <f aca="false">INDEX(D24:F24,MATCH(scenario,$D$4:$F$4,0))</f>
        <v>-1402.46926027397</v>
      </c>
    </row>
    <row r="25" customFormat="false" ht="14.25" hidden="false" customHeight="true" outlineLevel="0" collapsed="false">
      <c r="B25" s="11"/>
      <c r="C25" s="42"/>
      <c r="D25" s="31" t="n">
        <f aca="false">SUM(D19:D24)</f>
        <v>-122.636472328767</v>
      </c>
      <c r="E25" s="31" t="n">
        <f aca="false">SUM(E19:E24)</f>
        <v>196.21835572603</v>
      </c>
      <c r="F25" s="31" t="n">
        <f aca="false">SUM(F19:F24)</f>
        <v>367.9094169863</v>
      </c>
      <c r="G25" s="12" t="n">
        <f aca="false">INDEX(D25:F25,MATCH(scenario,$D$4:$F$4,0))</f>
        <v>196.21835572603</v>
      </c>
    </row>
    <row r="27" customFormat="false" ht="14.25" hidden="false" customHeight="true" outlineLevel="0" collapsed="false">
      <c r="B27" s="6" t="s">
        <v>510</v>
      </c>
      <c r="C27" s="3" t="s">
        <v>511</v>
      </c>
      <c r="D27" s="23" t="n">
        <f aca="false">-(l2_cost+ladder_unit*ladder_redeem*(D6-attain_baseline))</f>
        <v>-4260</v>
      </c>
      <c r="E27" s="23" t="n">
        <f aca="false">-(l2_cost+ladder_unit*ladder_redeem*(E6-attain_baseline))</f>
        <v>-4692</v>
      </c>
      <c r="F27" s="23" t="n">
        <f aca="false">-(l2_cost+ladder_unit*ladder_redeem*(F6-attain_baseline))</f>
        <v>-5232</v>
      </c>
      <c r="G27" s="12" t="n">
        <f aca="false">INDEX(D27:F27,MATCH(scenario,$D$4:$F$4,0))</f>
        <v>-4692</v>
      </c>
    </row>
    <row r="28" customFormat="false" ht="14.25" hidden="false" customHeight="true" outlineLevel="0" collapsed="false">
      <c r="B28" s="6" t="s">
        <v>512</v>
      </c>
      <c r="C28" s="3" t="s">
        <v>513</v>
      </c>
      <c r="D28" s="31" t="n">
        <f aca="false">-2970</f>
        <v>-2970</v>
      </c>
      <c r="E28" s="31" t="n">
        <f aca="false">-2970</f>
        <v>-2970</v>
      </c>
      <c r="F28" s="31" t="n">
        <f aca="false">-2970</f>
        <v>-2970</v>
      </c>
      <c r="G28" s="12" t="n">
        <f aca="false">INDEX(D28:F28,MATCH(scenario,$D$4:$F$4,0))</f>
        <v>-2970</v>
      </c>
    </row>
    <row r="29" customFormat="false" ht="14.25" hidden="false" customHeight="true" outlineLevel="0" collapsed="false">
      <c r="B29" s="11" t="s">
        <v>514</v>
      </c>
      <c r="C29" s="3" t="s">
        <v>511</v>
      </c>
      <c r="D29" s="12" t="n">
        <f aca="false">D27-D28</f>
        <v>-1290</v>
      </c>
      <c r="E29" s="12" t="n">
        <f aca="false">E27-E28</f>
        <v>-1722</v>
      </c>
      <c r="F29" s="12" t="n">
        <f aca="false">F27-F28</f>
        <v>-2262</v>
      </c>
      <c r="G29" s="12" t="n">
        <f aca="false">INDEX(D29:F29,MATCH(scenario,$D$4:$F$4,0))</f>
        <v>-1722</v>
      </c>
    </row>
    <row r="30" customFormat="false" ht="14.25" hidden="false" customHeight="true" outlineLevel="0" collapsed="false">
      <c r="B30" s="6" t="s">
        <v>515</v>
      </c>
      <c r="C30" s="3" t="s">
        <v>511</v>
      </c>
      <c r="D30" s="23" t="n">
        <f aca="false">-l3_cost*D7/util_baseline</f>
        <v>-6989.25</v>
      </c>
      <c r="E30" s="23" t="n">
        <f aca="false">-l3_cost*E7/util_baseline</f>
        <v>-9319</v>
      </c>
      <c r="F30" s="23" t="n">
        <f aca="false">-l3_cost*F7/util_baseline</f>
        <v>-11648.75</v>
      </c>
      <c r="G30" s="12" t="n">
        <f aca="false">INDEX(D30:F30,MATCH(scenario,$D$4:$F$4,0))</f>
        <v>-9319</v>
      </c>
    </row>
    <row r="31" customFormat="false" ht="33" hidden="false" customHeight="true" outlineLevel="0" collapsed="false">
      <c r="B31" s="6" t="s">
        <v>516</v>
      </c>
      <c r="C31" s="3" t="s">
        <v>513</v>
      </c>
      <c r="D31" s="23" t="n">
        <f aca="false">l1_reclaim</f>
        <v>11750</v>
      </c>
      <c r="E31" s="23" t="n">
        <f aca="false">l1_reclaim</f>
        <v>11750</v>
      </c>
      <c r="F31" s="23" t="n">
        <f aca="false">l1_reclaim</f>
        <v>11750</v>
      </c>
      <c r="G31" s="12" t="n">
        <f aca="false">INDEX(D31:F31,MATCH(scenario,$D$4:$F$4,0))</f>
        <v>11750</v>
      </c>
      <c r="H31" s="41" t="s">
        <v>517</v>
      </c>
    </row>
    <row r="32" customFormat="false" ht="14.25" hidden="false" customHeight="true" outlineLevel="0" collapsed="false">
      <c r="B32" s="11"/>
      <c r="C32" s="3" t="s">
        <v>518</v>
      </c>
      <c r="D32" s="12" t="n">
        <f aca="false">D29+D30</f>
        <v>-8279.25</v>
      </c>
      <c r="E32" s="12" t="n">
        <f aca="false">E29+E30</f>
        <v>-11041</v>
      </c>
      <c r="F32" s="12" t="n">
        <f aca="false">F29+F30</f>
        <v>-13910.75</v>
      </c>
      <c r="G32" s="12" t="n">
        <f aca="false">INDEX(D32:F32,MATCH(scenario,$D$4:$F$4,0))</f>
        <v>-11041</v>
      </c>
    </row>
    <row r="33" customFormat="false" ht="33" hidden="false" customHeight="true" outlineLevel="0" collapsed="false">
      <c r="B33" s="6" t="s">
        <v>519</v>
      </c>
      <c r="C33" s="3" t="s">
        <v>483</v>
      </c>
      <c r="D33" s="31" t="n">
        <f aca="false">(attrition-D9)*(D16+cac)</f>
        <v>-656.287294465753</v>
      </c>
      <c r="E33" s="31" t="n">
        <f aca="false">(attrition-E9)*(E16+cac)</f>
        <v>656.287294465754</v>
      </c>
      <c r="F33" s="31" t="n">
        <f aca="false">(attrition-F9)*(F16+cac)</f>
        <v>1968.86188339726</v>
      </c>
      <c r="G33" s="12" t="n">
        <f aca="false">INDEX(D33:F33,MATCH(scenario,$D$4:$F$4,0))</f>
        <v>656.287294465754</v>
      </c>
      <c r="H33" s="41" t="s">
        <v>520</v>
      </c>
    </row>
    <row r="34" customFormat="false" ht="14.25" hidden="false" customHeight="true" outlineLevel="0" collapsed="false">
      <c r="B34" s="11" t="s">
        <v>521</v>
      </c>
      <c r="C34" s="42"/>
      <c r="D34" s="12" t="n">
        <f aca="false">D16+D18+D25+D27+D30+D31</f>
        <v>30506.8429742466</v>
      </c>
      <c r="E34" s="12" t="n">
        <f aca="false">E16+E18+E25+E27+E30+E31</f>
        <v>28063.9478023014</v>
      </c>
      <c r="F34" s="12" t="n">
        <f aca="false">F16+F18+F25+F27+F30+F31</f>
        <v>25365.8888635616</v>
      </c>
      <c r="G34" s="12" t="n">
        <f aca="false">INDEX(D34:F34,MATCH(scenario,$D$4:$F$4,0))</f>
        <v>28063.9478023014</v>
      </c>
    </row>
    <row r="35" customFormat="false" ht="14.25" hidden="false" customHeight="true" outlineLevel="0" collapsed="false">
      <c r="B35" s="11" t="s">
        <v>522</v>
      </c>
      <c r="C35" s="42"/>
      <c r="D35" s="12" t="n">
        <f aca="false">D34-D16</f>
        <v>8378.11352767123</v>
      </c>
      <c r="E35" s="12" t="n">
        <f aca="false">E34-E16</f>
        <v>5935.21835572603</v>
      </c>
      <c r="F35" s="12" t="n">
        <f aca="false">F34-F16</f>
        <v>3237.1594169863</v>
      </c>
      <c r="G35" s="12" t="n">
        <f aca="false">INDEX(D35:F35,MATCH(scenario,$D$4:$F$4,0))</f>
        <v>5935.21835572603</v>
      </c>
    </row>
    <row r="37" customFormat="false" ht="14.25" hidden="false" customHeight="true" outlineLevel="0" collapsed="false">
      <c r="B37" s="4" t="s">
        <v>523</v>
      </c>
      <c r="C37" s="5"/>
      <c r="D37" s="5"/>
      <c r="E37" s="5"/>
      <c r="F37" s="5"/>
      <c r="G37" s="5"/>
      <c r="H37" s="5"/>
    </row>
    <row r="38" customFormat="false" ht="33" hidden="false" customHeight="true" outlineLevel="0" collapsed="false">
      <c r="B38" s="6" t="s">
        <v>524</v>
      </c>
      <c r="C38" s="42"/>
      <c r="D38" s="43" t="n">
        <f aca="false">IF(D5=0,"n/a",D25/(2_Baseline_PnL!$I$5*D5))</f>
        <v>0.00129023116600491</v>
      </c>
      <c r="E38" s="43" t="n">
        <f aca="false">IF(E5=0,"n/a",E25/(2_Baseline_PnL!$I$5*E5))</f>
        <v>0.00129023116600493</v>
      </c>
      <c r="F38" s="43" t="n">
        <f aca="false">IF(F5=0,"n/a",F25/(2_Baseline_PnL!$I$5*F5))</f>
        <v>0.00129023116600491</v>
      </c>
      <c r="G38" s="21" t="n">
        <f aca="false">INDEX(D38:F38,MATCH(scenario,$D$4:$F$4,0))</f>
        <v>0.00129023116600493</v>
      </c>
      <c r="H38" s="41" t="s">
        <v>525</v>
      </c>
    </row>
    <row r="39" customFormat="false" ht="14.25" hidden="false" customHeight="true" outlineLevel="0" collapsed="false">
      <c r="B39" s="11" t="s">
        <v>526</v>
      </c>
      <c r="C39" s="42"/>
      <c r="D39" s="12" t="n">
        <f aca="false">-(D27+D30)</f>
        <v>11249.25</v>
      </c>
      <c r="E39" s="12" t="n">
        <f aca="false">-(E27+E30)</f>
        <v>14011</v>
      </c>
      <c r="F39" s="12" t="n">
        <f aca="false">-(F27+F30)</f>
        <v>16880.75</v>
      </c>
      <c r="G39" s="12" t="n">
        <f aca="false">INDEX(D39:F39,MATCH(scenario,$D$4:$F$4,0))</f>
        <v>14011</v>
      </c>
    </row>
    <row r="40" customFormat="false" ht="14.25" hidden="false" customHeight="true" outlineLevel="0" collapsed="false">
      <c r="B40" s="6" t="s">
        <v>527</v>
      </c>
      <c r="C40" s="42"/>
      <c r="D40" s="8" t="n">
        <f aca="false">D39/cost_ceiling</f>
        <v>0.5624625</v>
      </c>
      <c r="E40" s="8" t="n">
        <f aca="false">E39/cost_ceiling</f>
        <v>0.70055</v>
      </c>
      <c r="F40" s="8" t="n">
        <f aca="false">F39/cost_ceiling</f>
        <v>0.8440375</v>
      </c>
      <c r="G40" s="10" t="n">
        <f aca="false">INDEX(D40:F40,MATCH(scenario,$D$4:$F$4,0))</f>
        <v>0.70055</v>
      </c>
    </row>
    <row r="41" customFormat="false" ht="33" hidden="false" customHeight="true" outlineLevel="0" collapsed="false">
      <c r="B41" s="6" t="s">
        <v>528</v>
      </c>
      <c r="C41" s="42"/>
      <c r="D41" s="8" t="n">
        <f aca="false">(D18+D31+D33)/D39</f>
        <v>1.69733206262944</v>
      </c>
      <c r="E41" s="8" t="n">
        <f aca="false">(E18+E31+E33)/E39</f>
        <v>1.45644759792062</v>
      </c>
      <c r="F41" s="8" t="n">
        <f aca="false">(F18+F31+F33)/F39</f>
        <v>1.28660526833211</v>
      </c>
      <c r="G41" s="10" t="n">
        <f aca="false">INDEX(D41:F41,MATCH(scenario,$D$4:$F$4,0))</f>
        <v>1.45644759792062</v>
      </c>
      <c r="H41" s="41" t="s">
        <v>529</v>
      </c>
    </row>
    <row r="43" customFormat="false" ht="14.25" hidden="false" customHeight="true" outlineLevel="0" collapsed="false">
      <c r="B43" s="4" t="s">
        <v>530</v>
      </c>
      <c r="C43" s="5"/>
      <c r="D43" s="5"/>
      <c r="E43" s="5"/>
      <c r="F43" s="5"/>
      <c r="G43" s="5"/>
      <c r="H43" s="5"/>
    </row>
    <row r="44" customFormat="false" ht="14.25" hidden="false" customHeight="true" outlineLevel="0" collapsed="false">
      <c r="B44" s="6" t="s">
        <v>531</v>
      </c>
      <c r="D44" s="23" t="n">
        <f aca="false">D34</f>
        <v>30506.8429742466</v>
      </c>
      <c r="E44" s="23" t="n">
        <f aca="false">E34</f>
        <v>28063.9478023014</v>
      </c>
      <c r="F44" s="23" t="n">
        <f aca="false">F34</f>
        <v>25365.8888635616</v>
      </c>
      <c r="G44" s="12" t="n">
        <f aca="false">G34</f>
        <v>28063.9478023014</v>
      </c>
    </row>
    <row r="45" customFormat="false" ht="14.25" hidden="false" customHeight="true" outlineLevel="0" collapsed="false">
      <c r="B45" s="6" t="s">
        <v>532</v>
      </c>
      <c r="D45" s="23" t="n">
        <f aca="false">D35</f>
        <v>8378.11352767123</v>
      </c>
      <c r="E45" s="23" t="n">
        <f aca="false">E35</f>
        <v>5935.21835572603</v>
      </c>
      <c r="F45" s="23" t="n">
        <f aca="false">F35</f>
        <v>3237.1594169863</v>
      </c>
      <c r="G45" s="12" t="n">
        <f aca="false">G35</f>
        <v>5935.21835572603</v>
      </c>
    </row>
    <row r="46" customFormat="false" ht="14.25" hidden="false" customHeight="true" outlineLevel="0" collapsed="false">
      <c r="B46" s="6" t="s">
        <v>533</v>
      </c>
      <c r="D46" s="23" t="n">
        <f aca="false">D16</f>
        <v>22128.7294465753</v>
      </c>
      <c r="E46" s="23" t="n">
        <f aca="false">E16</f>
        <v>22128.7294465753</v>
      </c>
      <c r="F46" s="23" t="n">
        <f aca="false">F16</f>
        <v>22128.7294465753</v>
      </c>
      <c r="G46" s="12" t="n">
        <f aca="false">G16</f>
        <v>22128.7294465753</v>
      </c>
    </row>
    <row r="47" customFormat="false" ht="14.25" hidden="false" customHeight="true" outlineLevel="0" collapsed="false">
      <c r="B47" s="6" t="s">
        <v>534</v>
      </c>
      <c r="D47" s="23" t="n">
        <f aca="false">D39</f>
        <v>11249.25</v>
      </c>
      <c r="E47" s="23" t="n">
        <f aca="false">E39</f>
        <v>14011</v>
      </c>
      <c r="F47" s="23" t="n">
        <f aca="false">F39</f>
        <v>16880.75</v>
      </c>
      <c r="G47" s="12" t="n">
        <f aca="false">G39</f>
        <v>14011</v>
      </c>
    </row>
    <row r="48" customFormat="false" ht="14.25" hidden="false" customHeight="true" outlineLevel="0" collapsed="false">
      <c r="B48" s="6" t="s">
        <v>482</v>
      </c>
      <c r="D48" s="8" t="n">
        <f aca="false">D9</f>
        <v>0.11</v>
      </c>
      <c r="E48" s="8" t="n">
        <f aca="false">E9</f>
        <v>0.09</v>
      </c>
      <c r="F48" s="8" t="n">
        <f aca="false">F9</f>
        <v>0.07</v>
      </c>
      <c r="G48" s="10" t="n">
        <f aca="false">G9</f>
        <v>0.09</v>
      </c>
    </row>
    <row r="49" customFormat="false" ht="14.25" hidden="false" customHeight="true" outlineLevel="0" collapsed="false">
      <c r="B49" s="6" t="s">
        <v>486</v>
      </c>
      <c r="D49" s="8" t="n">
        <f aca="false">D10</f>
        <v>-0.1</v>
      </c>
      <c r="E49" s="8" t="n">
        <f aca="false">E10</f>
        <v>0.15</v>
      </c>
      <c r="F49" s="8" t="n">
        <f aca="false">F10</f>
        <v>0.35</v>
      </c>
      <c r="G49" s="10" t="n">
        <f aca="false">G10</f>
        <v>0.15</v>
      </c>
    </row>
    <row r="50" customFormat="false" ht="14.25" hidden="false" customHeight="true" outlineLevel="0" collapsed="false">
      <c r="B50" s="6" t="s">
        <v>535</v>
      </c>
      <c r="D50" s="8" t="n">
        <f aca="false">D11</f>
        <v>0.928333333333333</v>
      </c>
      <c r="E50" s="8" t="n">
        <f aca="false">E11</f>
        <v>0.928333333333333</v>
      </c>
      <c r="F50" s="8" t="n">
        <f aca="false">F11</f>
        <v>0.928333333333333</v>
      </c>
      <c r="G50" s="10" t="n">
        <f aca="false">G11</f>
        <v>0.928333333333333</v>
      </c>
    </row>
    <row r="51" customFormat="false" ht="14.25" hidden="false" customHeight="true" outlineLevel="0" collapsed="false">
      <c r="B51" s="6" t="s">
        <v>536</v>
      </c>
      <c r="D51" s="8" t="n">
        <f aca="false">D5</f>
        <v>-0.05</v>
      </c>
      <c r="E51" s="8" t="n">
        <f aca="false">E5</f>
        <v>0.08</v>
      </c>
      <c r="F51" s="8" t="n">
        <f aca="false">F5</f>
        <v>0.15</v>
      </c>
      <c r="G51" s="10" t="n">
        <f aca="false">G5</f>
        <v>0.08</v>
      </c>
    </row>
    <row r="53" customFormat="false" ht="14.25" hidden="false" customHeight="true" outlineLevel="0" collapsed="false">
      <c r="B53" s="4" t="s">
        <v>295</v>
      </c>
      <c r="C53" s="5"/>
      <c r="D53" s="5"/>
      <c r="E53" s="5"/>
      <c r="F53" s="5"/>
      <c r="G53" s="5"/>
      <c r="H53" s="5"/>
    </row>
    <row r="54" customFormat="false" ht="14.25" hidden="false" customHeight="true" outlineLevel="0" collapsed="false">
      <c r="B54" s="6" t="s">
        <v>537</v>
      </c>
      <c r="C54" s="6"/>
      <c r="D54" s="23" t="n">
        <f aca="false">F39</f>
        <v>16880.75</v>
      </c>
      <c r="E54" s="11" t="str">
        <f aca="false">IF(F39&lt;=cost_ceiling,"PASS","FAIL")</f>
        <v>PASS</v>
      </c>
    </row>
    <row r="55" customFormat="false" ht="14.25" hidden="false" customHeight="true" outlineLevel="0" collapsed="false">
      <c r="B55" s="6" t="s">
        <v>538</v>
      </c>
      <c r="C55" s="6"/>
      <c r="D55" s="23" t="n">
        <f aca="false">D39</f>
        <v>11249.25</v>
      </c>
      <c r="E55" s="11" t="str">
        <f aca="false">IF(D39&gt;=l2_cost*0.8,"PASS","CHECK")</f>
        <v>PASS</v>
      </c>
    </row>
    <row r="56" customFormat="false" ht="14.25" hidden="false" customHeight="true" outlineLevel="0" collapsed="false">
      <c r="B56" s="6" t="s">
        <v>539</v>
      </c>
      <c r="C56" s="6"/>
      <c r="D56" s="8" t="n">
        <f aca="false">F5-D5</f>
        <v>0.2</v>
      </c>
      <c r="E56" s="11" t="str">
        <f aca="false">IF(AND(D5&lt;E5,E5&lt;F5),"PASS","FAIL")</f>
        <v>PASS</v>
      </c>
    </row>
    <row r="57" customFormat="false" ht="14.25" hidden="false" customHeight="true" outlineLevel="0" collapsed="false">
      <c r="B57" s="6" t="s">
        <v>540</v>
      </c>
      <c r="C57" s="6"/>
      <c r="D57" s="8" t="n">
        <f aca="false">D9-F9</f>
        <v>0.04</v>
      </c>
      <c r="E57" s="11" t="str">
        <f aca="false">IF(AND(D9&gt;E9,E9&gt;F9),"PASS","FAIL")</f>
        <v>PASS</v>
      </c>
    </row>
    <row r="58" customFormat="false" ht="14.25" hidden="false" customHeight="true" outlineLevel="0" collapsed="false">
      <c r="B58" s="6" t="s">
        <v>541</v>
      </c>
      <c r="C58" s="6"/>
      <c r="D58" s="23" t="n">
        <f aca="false">E16</f>
        <v>22128.7294465753</v>
      </c>
      <c r="E58" s="11" t="str">
        <f aca="false">IF(ABS(E16-(2_Baseline_PnL!$I$39-(fee_annual-fee_baseline)))&lt;1,"PASS","FAIL")</f>
        <v>PASS</v>
      </c>
    </row>
    <row r="59" customFormat="false" ht="14.25" hidden="false" customHeight="true" outlineLevel="0" collapsed="false">
      <c r="B59" s="6" t="s">
        <v>542</v>
      </c>
      <c r="C59" s="6"/>
      <c r="D59" s="23" t="n">
        <f aca="false">E35</f>
        <v>5935.21835572603</v>
      </c>
      <c r="E59" s="11" t="str">
        <f aca="false">IF(E35&gt;=0,"PASS","FAIL — redesign is per-card dilutive")</f>
        <v>PASS</v>
      </c>
    </row>
    <row r="60" customFormat="false" ht="14.25" hidden="false" customHeight="true" outlineLevel="0" collapsed="false">
      <c r="B60" s="6" t="s">
        <v>543</v>
      </c>
      <c r="C60" s="6"/>
      <c r="D60" s="44" t="s">
        <v>513</v>
      </c>
      <c r="E60" s="11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9" min="4" style="0" width="14"/>
    <col collapsed="false" customWidth="true" hidden="false" outlineLevel="0" max="10" min="10" style="0" width="4"/>
    <col collapsed="false" customWidth="true" hidden="false" outlineLevel="0" max="11" min="11" style="0" width="46"/>
    <col collapsed="false" customWidth="true" hidden="false" outlineLevel="0" max="12" min="12" style="0" width="14"/>
  </cols>
  <sheetData>
    <row r="1" customFormat="false" ht="15.75" hidden="false" customHeight="true" outlineLevel="0" collapsed="false">
      <c r="B1" s="1" t="s">
        <v>545</v>
      </c>
      <c r="C1" s="2"/>
      <c r="D1" s="3" t="s">
        <v>546</v>
      </c>
      <c r="E1" s="2"/>
      <c r="F1" s="2"/>
      <c r="G1" s="2"/>
      <c r="H1" s="2"/>
      <c r="I1" s="2"/>
      <c r="J1" s="2"/>
      <c r="K1" s="2"/>
      <c r="L1" s="2"/>
    </row>
    <row r="2" customFormat="false" ht="14.25" hidden="false" customHeight="true" outlineLevel="0" collapsed="false">
      <c r="K2" s="4" t="s">
        <v>547</v>
      </c>
    </row>
    <row r="3" customFormat="false" ht="14.25" hidden="false" customHeight="true" outlineLevel="0" collapsed="false">
      <c r="B3" s="4" t="s">
        <v>548</v>
      </c>
      <c r="C3" s="5"/>
      <c r="D3" s="5"/>
      <c r="E3" s="5"/>
      <c r="F3" s="5"/>
      <c r="G3" s="5"/>
      <c r="H3" s="5"/>
      <c r="I3" s="5"/>
      <c r="K3" s="6" t="s">
        <v>549</v>
      </c>
      <c r="L3" s="12" t="n">
        <v>40000000</v>
      </c>
    </row>
    <row r="4" customFormat="false" ht="14.25" hidden="false" customHeight="true" outlineLevel="0" collapsed="false">
      <c r="B4" s="4" t="s">
        <v>550</v>
      </c>
      <c r="C4" s="4" t="s">
        <v>53</v>
      </c>
      <c r="D4" s="4" t="s">
        <v>551</v>
      </c>
      <c r="E4" s="4" t="s">
        <v>552</v>
      </c>
      <c r="F4" s="4" t="s">
        <v>553</v>
      </c>
      <c r="G4" s="4" t="s">
        <v>554</v>
      </c>
      <c r="H4" s="4" t="s">
        <v>555</v>
      </c>
      <c r="I4" s="4" t="s">
        <v>556</v>
      </c>
      <c r="K4" s="6" t="s">
        <v>557</v>
      </c>
      <c r="L4" s="12" t="n">
        <v>15000000</v>
      </c>
    </row>
    <row r="5" customFormat="false" ht="14.25" hidden="false" customHeight="true" outlineLevel="0" collapsed="false">
      <c r="B5" s="11" t="s">
        <v>558</v>
      </c>
      <c r="C5" s="3" t="s">
        <v>99</v>
      </c>
      <c r="D5" s="12" t="n">
        <f aca="false">card_base</f>
        <v>40000</v>
      </c>
      <c r="E5" s="12" t="n">
        <f aca="false">D5+D6</f>
        <v>40000</v>
      </c>
      <c r="F5" s="12" t="n">
        <f aca="false">E5+E6</f>
        <v>41813.3333333333</v>
      </c>
      <c r="G5" s="12" t="n">
        <f aca="false">F5+F6</f>
        <v>46705.4933333333</v>
      </c>
      <c r="H5" s="12" t="n">
        <f aca="false">G5+G6</f>
        <v>52170.0360533333</v>
      </c>
      <c r="I5" s="12" t="n">
        <f aca="false">H5+H6</f>
        <v>58273.9302715733</v>
      </c>
      <c r="K5" s="6" t="s">
        <v>559</v>
      </c>
      <c r="L5" s="45" t="n">
        <f aca="false">(L3+L4)/10000000</f>
        <v>5.5</v>
      </c>
    </row>
    <row r="6" customFormat="false" ht="14.25" hidden="false" customHeight="true" outlineLevel="0" collapsed="false">
      <c r="B6" s="6" t="s">
        <v>560</v>
      </c>
      <c r="C6" s="3" t="s">
        <v>561</v>
      </c>
      <c r="D6" s="6" t="n">
        <f aca="false">0</f>
        <v>0</v>
      </c>
      <c r="E6" s="23" t="n">
        <f aca="false">E5*(acq_rate_base*(1+scen_acq_uplift)-scen_attrition-(1-scen_fee_acceptance))</f>
        <v>1813.33333333333</v>
      </c>
      <c r="F6" s="23" t="n">
        <f aca="false">F5*(acq_rate_base*(1+scen_acq_uplift)-scen_attrition)</f>
        <v>4892.16</v>
      </c>
      <c r="G6" s="23" t="n">
        <f aca="false">G5*(acq_rate_base*(1+scen_acq_uplift)-scen_attrition)</f>
        <v>5464.54272</v>
      </c>
      <c r="H6" s="23" t="n">
        <f aca="false">H5*(acq_rate_base*(1+scen_acq_uplift)-scen_attrition)</f>
        <v>6103.89421824</v>
      </c>
      <c r="I6" s="23" t="n">
        <f aca="false">I5*(acq_rate_base*(1+scen_acq_uplift)-scen_attrition)</f>
        <v>6818.04984177408</v>
      </c>
      <c r="K6" s="6" t="s">
        <v>562</v>
      </c>
      <c r="L6" s="12" t="n">
        <v>0</v>
      </c>
    </row>
    <row r="7" customFormat="false" ht="14.25" hidden="false" customHeight="true" outlineLevel="0" collapsed="false">
      <c r="B7" s="11" t="s">
        <v>563</v>
      </c>
      <c r="D7" s="12" t="n">
        <f aca="false">D5+D6</f>
        <v>40000</v>
      </c>
      <c r="E7" s="12" t="n">
        <f aca="false">E5+E6</f>
        <v>41813.3333333333</v>
      </c>
      <c r="F7" s="12" t="n">
        <f aca="false">F5+F6</f>
        <v>46705.4933333333</v>
      </c>
      <c r="G7" s="12" t="n">
        <f aca="false">G5+G6</f>
        <v>52170.0360533333</v>
      </c>
      <c r="H7" s="12" t="n">
        <f aca="false">H5+H6</f>
        <v>58273.9302715733</v>
      </c>
      <c r="I7" s="12" t="n">
        <f aca="false">I5+I6</f>
        <v>65091.9801133474</v>
      </c>
      <c r="K7" s="6" t="s">
        <v>564</v>
      </c>
      <c r="L7" s="10" t="n">
        <v>0.18</v>
      </c>
    </row>
    <row r="8" customFormat="false" ht="14.25" hidden="false" customHeight="true" outlineLevel="0" collapsed="false">
      <c r="B8" s="11" t="s">
        <v>565</v>
      </c>
      <c r="C8" s="3" t="s">
        <v>566</v>
      </c>
      <c r="D8" s="12" t="n">
        <f aca="false">card_base</f>
        <v>40000</v>
      </c>
      <c r="E8" s="12" t="n">
        <f aca="false">D8*(1+acq_rate_base-attrition)</f>
        <v>43200</v>
      </c>
      <c r="F8" s="12" t="n">
        <f aca="false">E8*(1+acq_rate_base-attrition)</f>
        <v>46656</v>
      </c>
      <c r="G8" s="12" t="n">
        <f aca="false">F8*(1+acq_rate_base-attrition)</f>
        <v>50388.48</v>
      </c>
      <c r="H8" s="12" t="n">
        <f aca="false">G8*(1+acq_rate_base-attrition)</f>
        <v>54419.5584</v>
      </c>
      <c r="I8" s="12" t="n">
        <f aca="false">H8*(1+acq_rate_base-attrition)</f>
        <v>58773.123072</v>
      </c>
    </row>
    <row r="9" customFormat="false" ht="14.25" hidden="false" customHeight="true" outlineLevel="0" collapsed="false">
      <c r="B9" s="11" t="s">
        <v>567</v>
      </c>
      <c r="D9" s="31" t="n">
        <f aca="false">D7-D8</f>
        <v>0</v>
      </c>
      <c r="E9" s="31" t="n">
        <f aca="false">E7-E8</f>
        <v>-1386.66666666666</v>
      </c>
      <c r="F9" s="31" t="n">
        <f aca="false">F7-F8</f>
        <v>49.4933333333465</v>
      </c>
      <c r="G9" s="31" t="n">
        <f aca="false">G7-G8</f>
        <v>1781.55605333336</v>
      </c>
      <c r="H9" s="31" t="n">
        <f aca="false">H7-H8</f>
        <v>3854.37187157336</v>
      </c>
      <c r="I9" s="31" t="n">
        <f aca="false">I7-I8</f>
        <v>6318.85704134746</v>
      </c>
    </row>
    <row r="11" customFormat="false" ht="14.25" hidden="false" customHeight="true" outlineLevel="0" collapsed="false">
      <c r="B11" s="4" t="s">
        <v>568</v>
      </c>
      <c r="C11" s="5"/>
      <c r="D11" s="5"/>
      <c r="E11" s="5"/>
      <c r="F11" s="5"/>
      <c r="G11" s="5"/>
      <c r="H11" s="5"/>
      <c r="I11" s="5"/>
    </row>
    <row r="12" customFormat="false" ht="14.25" hidden="false" customHeight="true" outlineLevel="0" collapsed="false">
      <c r="B12" s="6" t="s">
        <v>569</v>
      </c>
      <c r="C12" s="3" t="s">
        <v>570</v>
      </c>
      <c r="D12" s="32" t="n">
        <f aca="false">scen_contrib_pre</f>
        <v>22128.7294465753</v>
      </c>
      <c r="E12" s="32" t="n">
        <f aca="false">D12</f>
        <v>22128.7294465753</v>
      </c>
      <c r="F12" s="32" t="n">
        <f aca="false">D12</f>
        <v>22128.7294465753</v>
      </c>
      <c r="G12" s="32" t="n">
        <f aca="false">D12</f>
        <v>22128.7294465753</v>
      </c>
      <c r="H12" s="32" t="n">
        <f aca="false">D12</f>
        <v>22128.7294465753</v>
      </c>
      <c r="I12" s="32" t="n">
        <f aca="false">D12</f>
        <v>22128.7294465753</v>
      </c>
    </row>
    <row r="13" customFormat="false" ht="14.25" hidden="false" customHeight="true" outlineLevel="0" collapsed="false">
      <c r="B13" s="6" t="s">
        <v>571</v>
      </c>
      <c r="C13" s="3" t="s">
        <v>4</v>
      </c>
      <c r="D13" s="32" t="n">
        <f aca="false">fee_annual-fee_baseline</f>
        <v>8000</v>
      </c>
      <c r="E13" s="32" t="n">
        <f aca="false">D13</f>
        <v>8000</v>
      </c>
      <c r="F13" s="32" t="n">
        <f aca="false">D13</f>
        <v>8000</v>
      </c>
      <c r="G13" s="32" t="n">
        <f aca="false">D13</f>
        <v>8000</v>
      </c>
      <c r="H13" s="32" t="n">
        <f aca="false">D13</f>
        <v>8000</v>
      </c>
      <c r="I13" s="32" t="n">
        <f aca="false">D13</f>
        <v>8000</v>
      </c>
    </row>
    <row r="14" customFormat="false" ht="14.25" hidden="false" customHeight="true" outlineLevel="0" collapsed="false">
      <c r="B14" s="11" t="s">
        <v>572</v>
      </c>
      <c r="C14" s="3" t="s">
        <v>573</v>
      </c>
      <c r="D14" s="12" t="n">
        <f aca="false">scen_contrib_delta</f>
        <v>5935.21835572603</v>
      </c>
      <c r="E14" s="12" t="n">
        <f aca="false">D14</f>
        <v>5935.21835572603</v>
      </c>
      <c r="F14" s="12" t="n">
        <f aca="false">D14</f>
        <v>5935.21835572603</v>
      </c>
      <c r="G14" s="12" t="n">
        <f aca="false">D14</f>
        <v>5935.21835572603</v>
      </c>
      <c r="H14" s="12" t="n">
        <f aca="false">D14</f>
        <v>5935.21835572603</v>
      </c>
      <c r="I14" s="12" t="n">
        <f aca="false">D14</f>
        <v>5935.21835572603</v>
      </c>
    </row>
    <row r="15" customFormat="false" ht="14.25" hidden="false" customHeight="true" outlineLevel="0" collapsed="false">
      <c r="B15" s="11" t="s">
        <v>574</v>
      </c>
      <c r="D15" s="12" t="n">
        <f aca="false">D12+D14</f>
        <v>28063.9478023014</v>
      </c>
      <c r="E15" s="12" t="n">
        <f aca="false">E12+E14</f>
        <v>28063.9478023014</v>
      </c>
      <c r="F15" s="12" t="n">
        <f aca="false">F12+F14</f>
        <v>28063.9478023014</v>
      </c>
      <c r="G15" s="12" t="n">
        <f aca="false">G12+G14</f>
        <v>28063.9478023014</v>
      </c>
      <c r="H15" s="12" t="n">
        <f aca="false">H12+H14</f>
        <v>28063.9478023014</v>
      </c>
      <c r="I15" s="12" t="n">
        <f aca="false">I12+I14</f>
        <v>28063.9478023014</v>
      </c>
    </row>
    <row r="16" customFormat="false" ht="14.25" hidden="false" customHeight="true" outlineLevel="0" collapsed="false">
      <c r="B16" s="30" t="s">
        <v>575</v>
      </c>
      <c r="D16" s="23" t="n">
        <f aca="false">0</f>
        <v>0</v>
      </c>
      <c r="E16" s="31" t="n">
        <f aca="false">E14</f>
        <v>5935.21835572603</v>
      </c>
      <c r="F16" s="31" t="n">
        <f aca="false">F14</f>
        <v>5935.21835572603</v>
      </c>
      <c r="G16" s="31" t="n">
        <f aca="false">G14</f>
        <v>5935.21835572603</v>
      </c>
      <c r="H16" s="31" t="n">
        <f aca="false">H14</f>
        <v>5935.21835572603</v>
      </c>
      <c r="I16" s="31" t="n">
        <f aca="false">I14</f>
        <v>5935.21835572603</v>
      </c>
    </row>
    <row r="18" customFormat="false" ht="14.25" hidden="false" customHeight="true" outlineLevel="0" collapsed="false">
      <c r="B18" s="4" t="s">
        <v>576</v>
      </c>
      <c r="C18" s="5"/>
      <c r="D18" s="5"/>
      <c r="E18" s="5"/>
      <c r="F18" s="5"/>
      <c r="G18" s="5"/>
      <c r="H18" s="5"/>
      <c r="I18" s="5"/>
    </row>
    <row r="19" customFormat="false" ht="14.25" hidden="false" customHeight="true" outlineLevel="0" collapsed="false">
      <c r="B19" s="11" t="s">
        <v>577</v>
      </c>
      <c r="D19" s="46" t="n">
        <f aca="false">-inv_total_y0</f>
        <v>-5.5</v>
      </c>
      <c r="E19" s="46" t="n">
        <f aca="false">0</f>
        <v>0</v>
      </c>
      <c r="F19" s="46" t="n">
        <f aca="false">0</f>
        <v>0</v>
      </c>
      <c r="G19" s="46" t="n">
        <f aca="false">0</f>
        <v>0</v>
      </c>
      <c r="H19" s="46" t="n">
        <f aca="false">0</f>
        <v>0</v>
      </c>
      <c r="I19" s="46" t="n">
        <f aca="false">0</f>
        <v>0</v>
      </c>
    </row>
    <row r="20" customFormat="false" ht="14.25" hidden="false" customHeight="true" outlineLevel="0" collapsed="false">
      <c r="B20" s="11" t="s">
        <v>578</v>
      </c>
      <c r="D20" s="47" t="n">
        <f aca="false">0</f>
        <v>0</v>
      </c>
      <c r="E20" s="47" t="n">
        <f aca="false">-inv_ongoing_mkt*E7/card_base</f>
        <v>-0</v>
      </c>
      <c r="F20" s="47" t="n">
        <f aca="false">-inv_ongoing_mkt*F7/card_base</f>
        <v>-0</v>
      </c>
      <c r="G20" s="47" t="n">
        <f aca="false">-inv_ongoing_mkt*G7/card_base</f>
        <v>-0</v>
      </c>
      <c r="H20" s="47" t="n">
        <f aca="false">-inv_ongoing_mkt*H7/card_base</f>
        <v>-0</v>
      </c>
      <c r="I20" s="47" t="n">
        <f aca="false">-inv_ongoing_mkt*I7/card_base</f>
        <v>-0</v>
      </c>
    </row>
    <row r="21" customFormat="false" ht="14.25" hidden="false" customHeight="true" outlineLevel="0" collapsed="false">
      <c r="B21" s="11" t="s">
        <v>579</v>
      </c>
      <c r="D21" s="47" t="n">
        <f aca="false">0</f>
        <v>0</v>
      </c>
      <c r="E21" s="47" t="n">
        <f aca="false">-MAX(0,E9)*cac*4/5</f>
        <v>-0</v>
      </c>
      <c r="F21" s="47" t="n">
        <f aca="false">-MAX(0,F9)*cac*4/5</f>
        <v>-1722368.00000046</v>
      </c>
      <c r="G21" s="47" t="n">
        <f aca="false">-MAX(0,G9)*cac*4/5</f>
        <v>-61998150.6560008</v>
      </c>
      <c r="H21" s="47" t="n">
        <f aca="false">-MAX(0,H9)*cac*4/5</f>
        <v>-134132141.130753</v>
      </c>
      <c r="I21" s="47" t="n">
        <f aca="false">-MAX(0,I9)*cac*4/5</f>
        <v>-219896225.038892</v>
      </c>
    </row>
    <row r="22" customFormat="false" ht="14.25" hidden="false" customHeight="true" outlineLevel="0" collapsed="false">
      <c r="B22" s="11" t="s">
        <v>580</v>
      </c>
      <c r="D22" s="46" t="n">
        <f aca="false">0</f>
        <v>0</v>
      </c>
      <c r="E22" s="46" t="n">
        <f aca="false">(E8*E16)/10000000</f>
        <v>25.6401432967364</v>
      </c>
      <c r="F22" s="46" t="n">
        <f aca="false">(F8*F16)/10000000</f>
        <v>27.6913547604754</v>
      </c>
      <c r="G22" s="46" t="n">
        <f aca="false">(G8*G16)/10000000</f>
        <v>29.9066631413134</v>
      </c>
      <c r="H22" s="46" t="n">
        <f aca="false">(H8*H16)/10000000</f>
        <v>32.2991961926184</v>
      </c>
      <c r="I22" s="46" t="n">
        <f aca="false">(I8*I16)/10000000</f>
        <v>34.8831318880279</v>
      </c>
    </row>
    <row r="23" customFormat="false" ht="14.25" hidden="false" customHeight="true" outlineLevel="0" collapsed="false">
      <c r="B23" s="11" t="s">
        <v>581</v>
      </c>
      <c r="D23" s="46" t="n">
        <f aca="false">0</f>
        <v>0</v>
      </c>
      <c r="E23" s="46" t="n">
        <f aca="false">(E9*E15)/10000000</f>
        <v>-3.89153409525243</v>
      </c>
      <c r="F23" s="46" t="n">
        <f aca="false">(F9*F15)/10000000</f>
        <v>0.138897832322894</v>
      </c>
      <c r="G23" s="46" t="n">
        <f aca="false">(G9*G15)/10000000</f>
        <v>4.99974960876213</v>
      </c>
      <c r="H23" s="46" t="n">
        <f aca="false">(H9*H15)/10000000</f>
        <v>10.8168891014494</v>
      </c>
      <c r="I23" s="46" t="n">
        <f aca="false">(I9*I15)/10000000</f>
        <v>17.733207417858</v>
      </c>
    </row>
    <row r="24" customFormat="false" ht="14.25" hidden="false" customHeight="true" outlineLevel="0" collapsed="false">
      <c r="B24" s="11" t="s">
        <v>582</v>
      </c>
      <c r="D24" s="46" t="n">
        <f aca="false">0</f>
        <v>0</v>
      </c>
      <c r="E24" s="48" t="n">
        <f aca="false">(E22*10000000+E23*10000000)/10000000</f>
        <v>21.748609201484</v>
      </c>
      <c r="F24" s="48" t="n">
        <f aca="false">(F22*10000000+F23*10000000)/10000000</f>
        <v>27.8302525927982</v>
      </c>
      <c r="G24" s="48" t="n">
        <f aca="false">(G22*10000000+G23*10000000)/10000000</f>
        <v>34.9064127500755</v>
      </c>
      <c r="H24" s="48" t="n">
        <f aca="false">(H22*10000000+H23*10000000)/10000000</f>
        <v>43.1160852940678</v>
      </c>
      <c r="I24" s="48" t="n">
        <f aca="false">(I22*10000000+I23*10000000)/10000000</f>
        <v>52.6163393058859</v>
      </c>
    </row>
    <row r="25" customFormat="false" ht="14.25" hidden="false" customHeight="true" outlineLevel="0" collapsed="false">
      <c r="B25" s="30" t="s">
        <v>583</v>
      </c>
      <c r="D25" s="45" t="n">
        <f aca="false">(D19*10000000+D20*10000000+D24*10000000)/10000000</f>
        <v>-5.5</v>
      </c>
      <c r="E25" s="45" t="n">
        <f aca="false">(E19*10000000+E20*10000000+E24*10000000)/10000000</f>
        <v>21.748609201484</v>
      </c>
      <c r="F25" s="45" t="n">
        <f aca="false">(F19*10000000+F20*10000000+F24*10000000)/10000000</f>
        <v>27.8302525927982</v>
      </c>
      <c r="G25" s="45" t="n">
        <f aca="false">(G19*10000000+G20*10000000+G24*10000000)/10000000</f>
        <v>34.9064127500755</v>
      </c>
      <c r="H25" s="45" t="n">
        <f aca="false">(H19*10000000+H20*10000000+H24*10000000)/10000000</f>
        <v>43.1160852940678</v>
      </c>
      <c r="I25" s="45" t="n">
        <f aca="false">(I19*10000000+I20*10000000+I24*10000000)/10000000</f>
        <v>52.6163393058859</v>
      </c>
    </row>
    <row r="27" customFormat="false" ht="14.25" hidden="false" customHeight="true" outlineLevel="0" collapsed="false">
      <c r="B27" s="4" t="s">
        <v>584</v>
      </c>
      <c r="C27" s="5"/>
      <c r="D27" s="5"/>
      <c r="E27" s="5"/>
      <c r="F27" s="5"/>
      <c r="G27" s="5"/>
      <c r="H27" s="5"/>
      <c r="I27" s="5"/>
    </row>
    <row r="28" customFormat="false" ht="14.25" hidden="false" customHeight="true" outlineLevel="0" collapsed="false">
      <c r="B28" s="11" t="s">
        <v>585</v>
      </c>
      <c r="C28" s="3" t="s">
        <v>586</v>
      </c>
      <c r="D28" s="36" t="n">
        <f aca="false">1/(1+wacc)^0</f>
        <v>1</v>
      </c>
      <c r="E28" s="36" t="n">
        <f aca="false">1/(1+wacc)^1</f>
        <v>0.923361034164358</v>
      </c>
      <c r="F28" s="36" t="n">
        <f aca="false">1/(1+wacc)^2</f>
        <v>0.852595599413073</v>
      </c>
      <c r="G28" s="36" t="n">
        <f aca="false">1/(1+wacc)^3</f>
        <v>0.787253554398036</v>
      </c>
      <c r="H28" s="36" t="n">
        <f aca="false">1/(1+wacc)^4</f>
        <v>0.726919256138538</v>
      </c>
      <c r="I28" s="36" t="n">
        <f aca="false">1/(1+wacc)^5</f>
        <v>0.671208916102066</v>
      </c>
    </row>
    <row r="29" customFormat="false" ht="14.25" hidden="false" customHeight="true" outlineLevel="0" collapsed="false">
      <c r="B29" s="11" t="s">
        <v>587</v>
      </c>
      <c r="D29" s="45" t="n">
        <f aca="false">(D25*10000000*D28)/10000000</f>
        <v>-5.5</v>
      </c>
      <c r="E29" s="45" t="n">
        <f aca="false">(E25*10000000*E28)/10000000</f>
        <v>20.0818182839188</v>
      </c>
      <c r="F29" s="45" t="n">
        <f aca="false">(F25*10000000*F28)/10000000</f>
        <v>23.7279508911741</v>
      </c>
      <c r="G29" s="45" t="n">
        <f aca="false">(G25*10000000*G28)/10000000</f>
        <v>27.4801975087819</v>
      </c>
      <c r="H29" s="45" t="n">
        <f aca="false">(H25*10000000*H28)/10000000</f>
        <v>31.3419126495695</v>
      </c>
      <c r="I29" s="45" t="n">
        <f aca="false">(I25*10000000*I28)/10000000</f>
        <v>35.3165560747622</v>
      </c>
    </row>
    <row r="31" customFormat="false" ht="14.25" hidden="false" customHeight="true" outlineLevel="0" collapsed="false">
      <c r="B31" s="11" t="s">
        <v>588</v>
      </c>
      <c r="D31" s="48" t="n">
        <f aca="false">SUM(D29:I29)</f>
        <v>132.448435408206</v>
      </c>
    </row>
    <row r="32" customFormat="false" ht="14.25" hidden="false" customHeight="true" outlineLevel="0" collapsed="false">
      <c r="B32" s="11" t="s">
        <v>589</v>
      </c>
      <c r="D32" s="14" t="n">
        <f aca="false">IFERROR(IRR(D25:I25),"n/a — no sign change")</f>
        <v>4.22346931173906</v>
      </c>
    </row>
    <row r="33" customFormat="false" ht="14.25" hidden="false" customHeight="true" outlineLevel="0" collapsed="false">
      <c r="B33" s="11" t="s">
        <v>590</v>
      </c>
      <c r="D33" s="48" t="n">
        <f aca="false">SUM(D25:I25)</f>
        <v>174.717699144311</v>
      </c>
    </row>
    <row r="34" customFormat="false" ht="14.25" hidden="false" customHeight="true" outlineLevel="0" collapsed="false">
      <c r="B34" s="11" t="s">
        <v>591</v>
      </c>
      <c r="D34" s="33" t="n">
        <f aca="false">IF(D33&lt;=0,"n/a — value destructive",D33/(-D19))</f>
        <v>31.7668543898748</v>
      </c>
    </row>
    <row r="36" customFormat="false" ht="14.25" hidden="false" customHeight="true" outlineLevel="0" collapsed="false">
      <c r="B36" s="4" t="s">
        <v>592</v>
      </c>
      <c r="C36" s="5"/>
      <c r="D36" s="5"/>
      <c r="E36" s="5"/>
      <c r="F36" s="5"/>
      <c r="G36" s="5"/>
      <c r="H36" s="5"/>
      <c r="I36" s="5"/>
    </row>
    <row r="37" customFormat="false" ht="14.25" hidden="false" customHeight="true" outlineLevel="0" collapsed="false">
      <c r="B37" s="11" t="s">
        <v>593</v>
      </c>
      <c r="D37" s="48" t="n">
        <f aca="false">D25</f>
        <v>-5.5</v>
      </c>
      <c r="E37" s="48" t="n">
        <f aca="false">SUM($D$25:E$25)</f>
        <v>16.248609201484</v>
      </c>
      <c r="F37" s="48" t="n">
        <f aca="false">SUM($D$25:F$25)</f>
        <v>44.0788617942823</v>
      </c>
      <c r="G37" s="48" t="n">
        <f aca="false">SUM($D$25:G$25)</f>
        <v>78.9852745443578</v>
      </c>
      <c r="H37" s="48" t="n">
        <f aca="false">SUM($D$25:H$25)</f>
        <v>122.101359838426</v>
      </c>
      <c r="I37" s="48" t="n">
        <f aca="false">SUM($D$25:I$25)</f>
        <v>174.717699144311</v>
      </c>
    </row>
    <row r="38" customFormat="false" ht="14.25" hidden="false" customHeight="true" outlineLevel="0" collapsed="false">
      <c r="B38" s="11" t="s">
        <v>594</v>
      </c>
      <c r="D38" s="11" t="str">
        <f aca="false">IF(COUNTIF(D37:I37,"&gt;=0")=0,"not achieved within 5 years","Y"&amp;(MATCH(TRUE(),INDEX(D37:I37&gt;=0,0),0)-1))</f>
        <v>Y1</v>
      </c>
    </row>
    <row r="40" customFormat="false" ht="14.25" hidden="false" customHeight="true" outlineLevel="0" collapsed="false">
      <c r="B40" s="4" t="s">
        <v>595</v>
      </c>
      <c r="C40" s="5"/>
      <c r="D40" s="5"/>
      <c r="E40" s="5"/>
      <c r="F40" s="5"/>
      <c r="G40" s="5"/>
      <c r="H40" s="5"/>
      <c r="I40" s="5"/>
    </row>
    <row r="41" customFormat="false" ht="14.25" hidden="false" customHeight="true" outlineLevel="0" collapsed="false">
      <c r="B41" s="6" t="s">
        <v>596</v>
      </c>
      <c r="D41" s="49" t="n">
        <f aca="false">(1-(1+wacc)^-5)/wacc</f>
        <v>3.96133836021607</v>
      </c>
    </row>
    <row r="42" customFormat="false" ht="14.25" hidden="false" customHeight="true" outlineLevel="0" collapsed="false">
      <c r="B42" s="6" t="s">
        <v>597</v>
      </c>
      <c r="D42" s="23" t="n">
        <f aca="false">AVERAGE(E8:I8)</f>
        <v>50687.4322944</v>
      </c>
    </row>
    <row r="43" customFormat="false" ht="14.25" hidden="false" customHeight="true" outlineLevel="0" collapsed="false">
      <c r="B43" s="11" t="s">
        <v>598</v>
      </c>
      <c r="D43" s="12" t="n">
        <f aca="false">(inv_total_y0*10000000)/(D42*D41)</f>
        <v>273.917928409213</v>
      </c>
    </row>
    <row r="44" customFormat="false" ht="14.25" hidden="false" customHeight="true" outlineLevel="0" collapsed="false">
      <c r="B44" s="11" t="s">
        <v>599</v>
      </c>
      <c r="D44" s="12" t="n">
        <f aca="false">D14</f>
        <v>5935.21835572603</v>
      </c>
    </row>
    <row r="45" customFormat="false" ht="14.25" hidden="false" customHeight="true" outlineLevel="0" collapsed="false">
      <c r="B45" s="11" t="s">
        <v>600</v>
      </c>
      <c r="D45" s="12" t="n">
        <f aca="false">D43-D14</f>
        <v>-5661.30042731682</v>
      </c>
    </row>
    <row r="47" customFormat="false" ht="14.25" hidden="false" customHeight="true" outlineLevel="0" collapsed="false">
      <c r="B47" s="4" t="s">
        <v>601</v>
      </c>
      <c r="C47" s="5"/>
      <c r="D47" s="5"/>
      <c r="E47" s="5"/>
      <c r="F47" s="5"/>
      <c r="G47" s="5"/>
      <c r="H47" s="5"/>
      <c r="I47" s="5"/>
    </row>
    <row r="48" customFormat="false" ht="14.25" hidden="false" customHeight="true" outlineLevel="0" collapsed="false">
      <c r="B48" s="6" t="s">
        <v>602</v>
      </c>
      <c r="D48" s="23" t="n">
        <f aca="false">D5</f>
        <v>40000</v>
      </c>
    </row>
    <row r="49" customFormat="false" ht="14.25" hidden="false" customHeight="true" outlineLevel="0" collapsed="false">
      <c r="B49" s="6" t="s">
        <v>603</v>
      </c>
      <c r="D49" s="23" t="n">
        <f aca="false">I7</f>
        <v>65091.9801133474</v>
      </c>
    </row>
    <row r="50" customFormat="false" ht="14.25" hidden="false" customHeight="true" outlineLevel="0" collapsed="false">
      <c r="B50" s="6" t="s">
        <v>604</v>
      </c>
      <c r="D50" s="23" t="n">
        <f aca="false">I8</f>
        <v>58773.123072</v>
      </c>
    </row>
    <row r="51" customFormat="false" ht="14.25" hidden="false" customHeight="true" outlineLevel="0" collapsed="false">
      <c r="B51" s="6" t="s">
        <v>605</v>
      </c>
      <c r="D51" s="46" t="n">
        <f aca="false">D31</f>
        <v>132.448435408206</v>
      </c>
    </row>
    <row r="52" customFormat="false" ht="14.25" hidden="false" customHeight="true" outlineLevel="0" collapsed="false">
      <c r="B52" s="6" t="s">
        <v>606</v>
      </c>
      <c r="D52" s="13" t="n">
        <f aca="false">D32</f>
        <v>4.22346931173906</v>
      </c>
    </row>
    <row r="53" customFormat="false" ht="14.25" hidden="false" customHeight="true" outlineLevel="0" collapsed="false">
      <c r="B53" s="6" t="s">
        <v>607</v>
      </c>
      <c r="D53" s="37" t="n">
        <f aca="false">D34</f>
        <v>31.7668543898748</v>
      </c>
    </row>
    <row r="54" customFormat="false" ht="14.25" hidden="false" customHeight="true" outlineLevel="0" collapsed="false">
      <c r="B54" s="6" t="s">
        <v>594</v>
      </c>
      <c r="D54" s="6" t="str">
        <f aca="false">D38</f>
        <v>Y1</v>
      </c>
    </row>
    <row r="55" customFormat="false" ht="14.25" hidden="false" customHeight="true" outlineLevel="0" collapsed="false">
      <c r="B55" s="6" t="s">
        <v>608</v>
      </c>
      <c r="D55" s="23" t="n">
        <f aca="false">D12</f>
        <v>22128.7294465753</v>
      </c>
    </row>
    <row r="56" customFormat="false" ht="14.25" hidden="false" customHeight="true" outlineLevel="0" collapsed="false">
      <c r="B56" s="6" t="s">
        <v>609</v>
      </c>
      <c r="D56" s="23" t="n">
        <f aca="false">D15</f>
        <v>28063.9478023014</v>
      </c>
    </row>
    <row r="57" customFormat="false" ht="14.25" hidden="false" customHeight="true" outlineLevel="0" collapsed="false">
      <c r="B57" s="6" t="s">
        <v>610</v>
      </c>
      <c r="D57" s="23" t="n">
        <f aca="false">E16</f>
        <v>5935.21835572603</v>
      </c>
    </row>
    <row r="58" customFormat="false" ht="14.25" hidden="false" customHeight="true" outlineLevel="0" collapsed="false">
      <c r="B58" s="6" t="s">
        <v>611</v>
      </c>
      <c r="D58" s="46" t="n">
        <f aca="false">(-D19)*10000000</f>
        <v>55000000</v>
      </c>
    </row>
    <row r="59" customFormat="false" ht="14.25" hidden="false" customHeight="true" outlineLevel="0" collapsed="false">
      <c r="B59" s="6" t="s">
        <v>612</v>
      </c>
      <c r="D59" s="23" t="n">
        <f aca="false">D43</f>
        <v>273.917928409213</v>
      </c>
    </row>
    <row r="60" customFormat="false" ht="14.25" hidden="false" customHeight="true" outlineLevel="0" collapsed="false">
      <c r="B60" s="6" t="s">
        <v>613</v>
      </c>
      <c r="D60" s="23" t="n">
        <f aca="false">D45</f>
        <v>-5661.30042731682</v>
      </c>
    </row>
    <row r="62" customFormat="false" ht="14.25" hidden="false" customHeight="true" outlineLevel="0" collapsed="false">
      <c r="B62" s="4" t="s">
        <v>295</v>
      </c>
      <c r="C62" s="5"/>
      <c r="D62" s="5"/>
      <c r="E62" s="5"/>
      <c r="F62" s="5"/>
      <c r="G62" s="5"/>
      <c r="H62" s="5"/>
      <c r="I62" s="5"/>
    </row>
    <row r="63" customFormat="false" ht="14.25" hidden="false" customHeight="true" outlineLevel="0" collapsed="false">
      <c r="B63" s="6" t="s">
        <v>614</v>
      </c>
      <c r="D63" s="11" t="str">
        <f aca="false">IF(ABS(E16-scen_contrib_delta)&lt;1,"PASS","FAIL")</f>
        <v>PASS</v>
      </c>
    </row>
    <row r="64" customFormat="false" ht="14.25" hidden="false" customHeight="true" outlineLevel="0" collapsed="false">
      <c r="B64" s="6" t="s">
        <v>615</v>
      </c>
      <c r="D64" s="11" t="str">
        <f aca="false">IF(I7&gt;I8,"PASS","CHECK — redesign loses cards")</f>
        <v>PASS</v>
      </c>
    </row>
    <row r="65" customFormat="false" ht="14.25" hidden="false" customHeight="true" outlineLevel="0" collapsed="false">
      <c r="B65" s="6" t="s">
        <v>616</v>
      </c>
      <c r="D65" s="11" t="str">
        <f aca="false">IF(ABS(D12-scen_contrib_pre)&lt;1,"PASS","FAIL")</f>
        <v>PASS</v>
      </c>
    </row>
    <row r="66" customFormat="false" ht="14.25" hidden="false" customHeight="true" outlineLevel="0" collapsed="false">
      <c r="B66" s="6" t="s">
        <v>617</v>
      </c>
      <c r="D66" s="11" t="str">
        <f aca="false">IF(D31&gt;=0,"PASS","FAIL — raise l1_reclaim or cut Layer 3")</f>
        <v>PASS</v>
      </c>
    </row>
    <row r="67" customFormat="false" ht="14.25" hidden="false" customHeight="true" outlineLevel="0" collapsed="false">
      <c r="B67" s="6" t="s">
        <v>618</v>
      </c>
      <c r="D67" s="11" t="str">
        <f aca="false">IF(inv_ongoing_mkt=0,"PASS","CHECK — is this spend already in Tab 2 row 32?")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50"/>
    <col collapsed="false" customWidth="true" hidden="false" outlineLevel="0" max="8" min="3" style="0" width="14"/>
    <col collapsed="false" customWidth="true" hidden="false" outlineLevel="0" max="9" min="9" style="0" width="20"/>
  </cols>
  <sheetData>
    <row r="1" customFormat="false" ht="15.75" hidden="false" customHeight="true" outlineLevel="0" collapsed="false">
      <c r="B1" s="1" t="s">
        <v>619</v>
      </c>
      <c r="C1" s="2"/>
      <c r="D1" s="3" t="s">
        <v>620</v>
      </c>
      <c r="E1" s="2"/>
      <c r="F1" s="2"/>
      <c r="G1" s="2"/>
      <c r="H1" s="2"/>
      <c r="I1" s="2"/>
      <c r="J1" s="2"/>
    </row>
    <row r="3" customFormat="false" ht="14.25" hidden="false" customHeight="true" outlineLevel="0" collapsed="false">
      <c r="B3" s="4" t="s">
        <v>621</v>
      </c>
      <c r="C3" s="5"/>
      <c r="D3" s="5"/>
      <c r="E3" s="5"/>
      <c r="F3" s="5"/>
      <c r="G3" s="5"/>
      <c r="H3" s="5"/>
      <c r="I3" s="5"/>
    </row>
    <row r="4" customFormat="false" ht="14.25" hidden="false" customHeight="true" outlineLevel="0" collapsed="false">
      <c r="B4" s="4" t="s">
        <v>622</v>
      </c>
      <c r="C4" s="4" t="s">
        <v>53</v>
      </c>
      <c r="D4" s="4" t="s">
        <v>623</v>
      </c>
      <c r="E4" s="4" t="s">
        <v>19</v>
      </c>
      <c r="F4" s="4" t="s">
        <v>248</v>
      </c>
      <c r="G4" s="4" t="s">
        <v>624</v>
      </c>
      <c r="H4" s="4" t="s">
        <v>625</v>
      </c>
      <c r="I4" s="6" t="s">
        <v>626</v>
      </c>
      <c r="J4" s="6" t="s">
        <v>627</v>
      </c>
    </row>
    <row r="5" customFormat="false" ht="14.25" hidden="false" customHeight="true" outlineLevel="0" collapsed="false">
      <c r="B5" s="6" t="s">
        <v>628</v>
      </c>
      <c r="C5" s="3" t="s">
        <v>468</v>
      </c>
      <c r="D5" s="8" t="n">
        <f aca="false">-5%</f>
        <v>-0.05</v>
      </c>
      <c r="E5" s="10" t="n">
        <f aca="false">8%</f>
        <v>0.08</v>
      </c>
      <c r="F5" s="8" t="n">
        <f aca="false">15%</f>
        <v>0.15</v>
      </c>
      <c r="G5" s="10" t="n">
        <f aca="false">ABS(J5-I5)</f>
        <v>9.53766272853335</v>
      </c>
      <c r="H5" s="6" t="n">
        <f aca="false">RANK(G5,$G$5:$G$10)</f>
        <v>3</v>
      </c>
      <c r="I5" s="6" t="n">
        <f aca="false">npv_base+(D5-scen_spend_uplift)*spend_base*0.0013*cards_y1*5*0.923/10000000</f>
        <v>126.24895463466</v>
      </c>
      <c r="J5" s="6" t="n">
        <f aca="false">npv_base+(F5-scen_spend_uplift)*spend_base*0.0013*cards_y1*5*0.923/10000000</f>
        <v>135.786617363193</v>
      </c>
    </row>
    <row r="6" customFormat="false" ht="14.25" hidden="false" customHeight="true" outlineLevel="0" collapsed="false">
      <c r="B6" s="6" t="s">
        <v>482</v>
      </c>
      <c r="C6" s="3" t="s">
        <v>483</v>
      </c>
      <c r="D6" s="8" t="n">
        <f aca="false">8%</f>
        <v>0.08</v>
      </c>
      <c r="E6" s="10" t="n">
        <f aca="false">12%</f>
        <v>0.12</v>
      </c>
      <c r="F6" s="8" t="n">
        <f aca="false">15%</f>
        <v>0.15</v>
      </c>
      <c r="G6" s="10" t="n">
        <f aca="false">ABS(J6-I6)</f>
        <v>21</v>
      </c>
      <c r="H6" s="6" t="n">
        <f aca="false">RANK(G6,$G$5:$G$10)</f>
        <v>1</v>
      </c>
      <c r="I6" s="6" t="n">
        <f aca="false">npv_base+(E6-D6)*100*3</f>
        <v>144.448435408206</v>
      </c>
      <c r="J6" s="6" t="n">
        <f aca="false">npv_base-(F6-E6)*100*3</f>
        <v>123.448435408206</v>
      </c>
    </row>
    <row r="7" customFormat="false" ht="14.25" hidden="false" customHeight="true" outlineLevel="0" collapsed="false">
      <c r="B7" s="6" t="s">
        <v>629</v>
      </c>
      <c r="C7" s="3" t="s">
        <v>29</v>
      </c>
      <c r="D7" s="8" t="n">
        <f aca="false">10.3%</f>
        <v>0.103</v>
      </c>
      <c r="E7" s="10" t="n">
        <f aca="false">8.3%</f>
        <v>0.083</v>
      </c>
      <c r="F7" s="8" t="n">
        <f aca="false">6.3%</f>
        <v>0.063</v>
      </c>
      <c r="G7" s="10" t="n">
        <f aca="false">ABS(J7-I7)</f>
        <v>14.496926296376</v>
      </c>
      <c r="H7" s="6" t="n">
        <f aca="false">RANK(G7,$G$5:$G$10)</f>
        <v>2</v>
      </c>
      <c r="I7" s="6" t="n">
        <f aca="false">5_ROI_NPV!$D$19+(npv_base-5_ROI_NPV!$D$19)*((1-(1+D7)^-5)/D7)/((1-(1+E7)^-5)/E7)</f>
        <v>125.503676896151</v>
      </c>
      <c r="J7" s="6" t="n">
        <f aca="false">5_ROI_NPV!$D$19+(npv_base-5_ROI_NPV!$D$19)*((1-(1+F7)^-5)/F7)/((1-(1+E7)^-5)/E7)</f>
        <v>140.000603192527</v>
      </c>
    </row>
    <row r="8" customFormat="false" ht="14.25" hidden="false" customHeight="true" outlineLevel="0" collapsed="false">
      <c r="B8" s="6" t="s">
        <v>535</v>
      </c>
      <c r="C8" s="3" t="s">
        <v>491</v>
      </c>
      <c r="D8" s="8" t="n">
        <f aca="false">85%</f>
        <v>0.85</v>
      </c>
      <c r="E8" s="10" t="n">
        <f aca="false">94%</f>
        <v>0.94</v>
      </c>
      <c r="F8" s="8" t="n">
        <f aca="false">97%</f>
        <v>0.97</v>
      </c>
      <c r="G8" s="10" t="n">
        <f aca="false">ABS(J8-I8)</f>
        <v>3.59999999999999</v>
      </c>
      <c r="H8" s="6" t="n">
        <f aca="false">RANK(G8,$G$5:$G$10)</f>
        <v>4</v>
      </c>
      <c r="I8" s="6" t="n">
        <f aca="false">npv_base-(E8-D8)*100*0.3</f>
        <v>129.748435408206</v>
      </c>
      <c r="J8" s="6" t="n">
        <f aca="false">npv_base+(F8-E8)*100*0.3</f>
        <v>133.348435408206</v>
      </c>
    </row>
    <row r="9" customFormat="false" ht="14.25" hidden="false" customHeight="true" outlineLevel="0" collapsed="false">
      <c r="B9" s="6" t="s">
        <v>35</v>
      </c>
      <c r="C9" s="3" t="s">
        <v>36</v>
      </c>
      <c r="D9" s="6" t="n">
        <f aca="false">0.33</f>
        <v>0.33</v>
      </c>
      <c r="E9" s="11" t="n">
        <f aca="false">0.26</f>
        <v>0.26</v>
      </c>
      <c r="F9" s="6" t="n">
        <f aca="false">0.21</f>
        <v>0.21</v>
      </c>
      <c r="G9" s="48" t="n">
        <f aca="false">ABS(J9-I9)</f>
        <v>0.514285714285734</v>
      </c>
      <c r="H9" s="6" t="n">
        <f aca="false">RANK(G9,$G$5:$G$10)</f>
        <v>6</v>
      </c>
      <c r="I9" s="6" t="n">
        <f aca="false">npv_base-(D9-E9)*(0.3/0.07)</f>
        <v>132.148435408206</v>
      </c>
      <c r="J9" s="6" t="n">
        <f aca="false">npv_base+(E9-F9)*(0.3/0.07)</f>
        <v>132.662721122492</v>
      </c>
    </row>
    <row r="10" customFormat="false" ht="14.25" hidden="false" customHeight="true" outlineLevel="0" collapsed="false">
      <c r="B10" s="6" t="s">
        <v>630</v>
      </c>
      <c r="C10" s="3" t="s">
        <v>475</v>
      </c>
      <c r="D10" s="8" t="n">
        <f aca="false">45%</f>
        <v>0.45</v>
      </c>
      <c r="E10" s="10" t="n">
        <f aca="false">60%</f>
        <v>0.6</v>
      </c>
      <c r="F10" s="8" t="n">
        <f aca="false">75%</f>
        <v>0.75</v>
      </c>
      <c r="G10" s="10" t="n">
        <f aca="false">ABS(J10-I10)</f>
        <v>1.19999999999999</v>
      </c>
      <c r="H10" s="6" t="n">
        <f aca="false">RANK(G10,$G$5:$G$10)</f>
        <v>5</v>
      </c>
      <c r="I10" s="6" t="n">
        <f aca="false">npv_base-(E10-D10)*100*0.04</f>
        <v>131.848435408206</v>
      </c>
      <c r="J10" s="6" t="n">
        <f aca="false">npv_base+(F10-E10)*100*0.04</f>
        <v>133.048435408206</v>
      </c>
    </row>
    <row r="11" customFormat="false" ht="14.25" hidden="false" customHeight="true" outlineLevel="0" collapsed="false">
      <c r="B11" s="3" t="s">
        <v>631</v>
      </c>
    </row>
    <row r="13" customFormat="false" ht="14.25" hidden="false" customHeight="true" outlineLevel="0" collapsed="false">
      <c r="B13" s="4" t="s">
        <v>632</v>
      </c>
      <c r="C13" s="5"/>
      <c r="D13" s="5"/>
      <c r="E13" s="5"/>
      <c r="F13" s="5"/>
      <c r="G13" s="5"/>
      <c r="H13" s="5"/>
      <c r="I13" s="5"/>
    </row>
    <row r="14" customFormat="false" ht="14.25" hidden="false" customHeight="true" outlineLevel="0" collapsed="false">
      <c r="B14" s="4" t="s">
        <v>633</v>
      </c>
      <c r="C14" s="4" t="s">
        <v>53</v>
      </c>
      <c r="D14" s="4" t="s">
        <v>634</v>
      </c>
      <c r="E14" s="4" t="s">
        <v>635</v>
      </c>
      <c r="F14" s="4" t="s">
        <v>636</v>
      </c>
      <c r="G14" s="4" t="s">
        <v>637</v>
      </c>
      <c r="H14" s="4" t="s">
        <v>638</v>
      </c>
      <c r="I14" s="4" t="s">
        <v>639</v>
      </c>
    </row>
    <row r="15" customFormat="false" ht="14.25" hidden="false" customHeight="true" outlineLevel="0" collapsed="false">
      <c r="B15" s="11" t="s">
        <v>640</v>
      </c>
      <c r="C15" s="3" t="s">
        <v>641</v>
      </c>
      <c r="D15" s="46" t="n">
        <f aca="false">npv_base+((50000-fee_annual)*cards_y1*5*0.923+(-0.05-scen_spend_uplift)*spend_base*0.0013*cards_y1*5*0.923)/10000000</f>
        <v>-221.09440536534</v>
      </c>
      <c r="E15" s="46" t="n">
        <f aca="false">npv_base+((50000-fee_annual)*cards_y1*5*0.923+(0-scen_spend_uplift)*spend_base*0.0013*cards_y1*5*0.923)/10000000</f>
        <v>-218.709989683207</v>
      </c>
      <c r="F15" s="46" t="n">
        <f aca="false">npv_base+((50000-fee_annual)*cards_y1*5*0.923+(0.05-scen_spend_uplift)*spend_base*0.0013*cards_y1*5*0.923)/10000000</f>
        <v>-216.325574001074</v>
      </c>
      <c r="G15" s="46" t="n">
        <f aca="false">npv_base+((50000-fee_annual)*cards_y1*5*0.923+(0.08-scen_spend_uplift)*spend_base*0.0013*cards_y1*5*0.923)/10000000</f>
        <v>-214.894924591794</v>
      </c>
      <c r="H15" s="46" t="n">
        <f aca="false">npv_base+((50000-fee_annual)*cards_y1*5*0.923+(0.12-scen_spend_uplift)*spend_base*0.0013*cards_y1*5*0.923)/10000000</f>
        <v>-212.987392046087</v>
      </c>
      <c r="I15" s="46" t="n">
        <f aca="false">npv_base+((50000-fee_annual)*cards_y1*5*0.923+(0.15-scen_spend_uplift)*spend_base*0.0013*cards_y1*5*0.923)/10000000</f>
        <v>-211.556742636807</v>
      </c>
    </row>
    <row r="16" customFormat="false" ht="14.25" hidden="false" customHeight="true" outlineLevel="0" collapsed="false">
      <c r="B16" s="11" t="s">
        <v>642</v>
      </c>
      <c r="C16" s="3" t="s">
        <v>641</v>
      </c>
      <c r="D16" s="46" t="n">
        <f aca="false">npv_base+((55000-fee_annual)*cards_y1*5*0.923+(-0.05-scen_spend_uplift)*spend_base*0.0013*cards_y1*5*0.923)/10000000</f>
        <v>-124.610138698674</v>
      </c>
      <c r="E16" s="46" t="n">
        <f aca="false">npv_base+((55000-fee_annual)*cards_y1*5*0.923+(0-scen_spend_uplift)*spend_base*0.0013*cards_y1*5*0.923)/10000000</f>
        <v>-122.22572301654</v>
      </c>
      <c r="F16" s="46" t="n">
        <f aca="false">npv_base+((55000-fee_annual)*cards_y1*5*0.923+(0.05-scen_spend_uplift)*spend_base*0.0013*cards_y1*5*0.923)/10000000</f>
        <v>-119.841307334407</v>
      </c>
      <c r="G16" s="46" t="n">
        <f aca="false">npv_base+((55000-fee_annual)*cards_y1*5*0.923+(0.08-scen_spend_uplift)*spend_base*0.0013*cards_y1*5*0.923)/10000000</f>
        <v>-118.410657925127</v>
      </c>
      <c r="H16" s="46" t="n">
        <f aca="false">npv_base+((55000-fee_annual)*cards_y1*5*0.923+(0.12-scen_spend_uplift)*spend_base*0.0013*cards_y1*5*0.923)/10000000</f>
        <v>-116.50312537942</v>
      </c>
      <c r="I16" s="46" t="n">
        <f aca="false">npv_base+((55000-fee_annual)*cards_y1*5*0.923+(0.15-scen_spend_uplift)*spend_base*0.0013*cards_y1*5*0.923)/10000000</f>
        <v>-115.07247597014</v>
      </c>
    </row>
    <row r="17" customFormat="false" ht="14.25" hidden="false" customHeight="true" outlineLevel="0" collapsed="false">
      <c r="B17" s="11" t="s">
        <v>643</v>
      </c>
      <c r="C17" s="3" t="s">
        <v>641</v>
      </c>
      <c r="D17" s="46" t="n">
        <f aca="false">npv_base+((60000-fee_annual)*cards_y1*5*0.923+(-0.05-scen_spend_uplift)*spend_base*0.0013*cards_y1*5*0.923)/10000000</f>
        <v>-28.125872032007</v>
      </c>
      <c r="E17" s="46" t="n">
        <f aca="false">npv_base+((60000-fee_annual)*cards_y1*5*0.923+(0-scen_spend_uplift)*spend_base*0.0013*cards_y1*5*0.923)/10000000</f>
        <v>-25.7414563498736</v>
      </c>
      <c r="F17" s="46" t="n">
        <f aca="false">npv_base+((60000-fee_annual)*cards_y1*5*0.923+(0.05-scen_spend_uplift)*spend_base*0.0013*cards_y1*5*0.923)/10000000</f>
        <v>-23.3570406677403</v>
      </c>
      <c r="G17" s="46" t="n">
        <f aca="false">npv_base+((60000-fee_annual)*cards_y1*5*0.923+(0.08-scen_spend_uplift)*spend_base*0.0013*cards_y1*5*0.923)/10000000</f>
        <v>-21.9263912584603</v>
      </c>
      <c r="H17" s="46" t="n">
        <f aca="false">npv_base+((60000-fee_annual)*cards_y1*5*0.923+(0.12-scen_spend_uplift)*spend_base*0.0013*cards_y1*5*0.923)/10000000</f>
        <v>-20.0188587127536</v>
      </c>
      <c r="I17" s="46" t="n">
        <f aca="false">npv_base+((60000-fee_annual)*cards_y1*5*0.923+(0.15-scen_spend_uplift)*spend_base*0.0013*cards_y1*5*0.923)/10000000</f>
        <v>-18.5882093034736</v>
      </c>
    </row>
    <row r="18" customFormat="false" ht="14.25" hidden="false" customHeight="true" outlineLevel="0" collapsed="false">
      <c r="B18" s="11" t="s">
        <v>644</v>
      </c>
      <c r="C18" s="3" t="s">
        <v>641</v>
      </c>
      <c r="D18" s="46" t="n">
        <f aca="false">npv_base+((66000-fee_annual)*cards_y1*5*0.923+(-0.05-scen_spend_uplift)*spend_base*0.0013*cards_y1*5*0.923)/10000000</f>
        <v>87.6552479679931</v>
      </c>
      <c r="E18" s="46" t="n">
        <f aca="false">npv_base+((66000-fee_annual)*cards_y1*5*0.923+(0-scen_spend_uplift)*spend_base*0.0013*cards_y1*5*0.923)/10000000</f>
        <v>90.0396636501264</v>
      </c>
      <c r="F18" s="46" t="n">
        <f aca="false">npv_base+((66000-fee_annual)*cards_y1*5*0.923+(0.05-scen_spend_uplift)*spend_base*0.0013*cards_y1*5*0.923)/10000000</f>
        <v>92.4240793322597</v>
      </c>
      <c r="G18" s="46" t="n">
        <f aca="false">npv_base+((66000-fee_annual)*cards_y1*5*0.923+(0.08-scen_spend_uplift)*spend_base*0.0013*cards_y1*5*0.923)/10000000</f>
        <v>93.8547287415397</v>
      </c>
      <c r="H18" s="46" t="n">
        <f aca="false">npv_base+((66000-fee_annual)*cards_y1*5*0.923+(0.12-scen_spend_uplift)*spend_base*0.0013*cards_y1*5*0.923)/10000000</f>
        <v>95.7622612872464</v>
      </c>
      <c r="I18" s="46" t="n">
        <f aca="false">npv_base+((66000-fee_annual)*cards_y1*5*0.923+(0.15-scen_spend_uplift)*spend_base*0.0013*cards_y1*5*0.923)/10000000</f>
        <v>97.1929106965264</v>
      </c>
    </row>
    <row r="19" customFormat="false" ht="14.25" hidden="false" customHeight="true" outlineLevel="0" collapsed="false">
      <c r="B19" s="11" t="s">
        <v>645</v>
      </c>
      <c r="C19" s="3" t="s">
        <v>641</v>
      </c>
      <c r="D19" s="46" t="n">
        <f aca="false">npv_base+((70000-fee_annual)*cards_y1*5*0.923+(-0.05-scen_spend_uplift)*spend_base*0.0013*cards_y1*5*0.923)/10000000</f>
        <v>164.842661301326</v>
      </c>
      <c r="E19" s="46" t="n">
        <f aca="false">npv_base+((70000-fee_annual)*cards_y1*5*0.923+(0-scen_spend_uplift)*spend_base*0.0013*cards_y1*5*0.923)/10000000</f>
        <v>167.22707698346</v>
      </c>
      <c r="F19" s="46" t="n">
        <f aca="false">npv_base+((70000-fee_annual)*cards_y1*5*0.923+(0.05-scen_spend_uplift)*spend_base*0.0013*cards_y1*5*0.923)/10000000</f>
        <v>169.611492665593</v>
      </c>
      <c r="G19" s="46" t="n">
        <f aca="false">npv_base+((70000-fee_annual)*cards_y1*5*0.923+(0.08-scen_spend_uplift)*spend_base*0.0013*cards_y1*5*0.923)/10000000</f>
        <v>171.042142074873</v>
      </c>
      <c r="H19" s="46" t="n">
        <f aca="false">npv_base+((70000-fee_annual)*cards_y1*5*0.923+(0.12-scen_spend_uplift)*spend_base*0.0013*cards_y1*5*0.923)/10000000</f>
        <v>172.94967462058</v>
      </c>
      <c r="I19" s="46" t="n">
        <f aca="false">npv_base+((70000-fee_annual)*cards_y1*5*0.923+(0.15-scen_spend_uplift)*spend_base*0.0013*cards_y1*5*0.923)/10000000</f>
        <v>174.38032402986</v>
      </c>
    </row>
    <row r="21" customFormat="false" ht="14.25" hidden="false" customHeight="true" outlineLevel="0" collapsed="false">
      <c r="B21" s="4" t="s">
        <v>646</v>
      </c>
      <c r="C21" s="5"/>
      <c r="D21" s="5"/>
      <c r="E21" s="5"/>
      <c r="F21" s="5"/>
      <c r="G21" s="5"/>
      <c r="H21" s="5"/>
      <c r="I21" s="5"/>
    </row>
    <row r="22" customFormat="false" ht="14.25" hidden="false" customHeight="true" outlineLevel="0" collapsed="false">
      <c r="B22" s="4" t="s">
        <v>647</v>
      </c>
      <c r="C22" s="4" t="s">
        <v>53</v>
      </c>
      <c r="D22" s="4" t="s">
        <v>648</v>
      </c>
      <c r="E22" s="4" t="s">
        <v>649</v>
      </c>
      <c r="F22" s="4" t="s">
        <v>650</v>
      </c>
      <c r="G22" s="4" t="s">
        <v>651</v>
      </c>
    </row>
    <row r="23" customFormat="false" ht="14.25" hidden="false" customHeight="true" outlineLevel="0" collapsed="false">
      <c r="B23" s="11" t="s">
        <v>652</v>
      </c>
      <c r="C23" s="3" t="s">
        <v>653</v>
      </c>
      <c r="D23" s="23" t="n">
        <f aca="false">l2_cost+l3_cost*0.45/0.6*(1-0.3)/0.61</f>
        <v>12550.4508196721</v>
      </c>
      <c r="E23" s="23" t="n">
        <f aca="false">l2_cost+l3_cost*0.45/0.6*(1-0.35)/0.61</f>
        <v>11977.5614754098</v>
      </c>
      <c r="F23" s="23" t="n">
        <f aca="false">l2_cost+l3_cost*0.45/0.6*(1-0.4)/0.61</f>
        <v>11404.6721311475</v>
      </c>
      <c r="G23" s="23" t="n">
        <f aca="false">l2_cost+l3_cost*0.45/0.6*(1-0.5)/0.61</f>
        <v>10258.893442623</v>
      </c>
    </row>
    <row r="24" customFormat="false" ht="14.25" hidden="false" customHeight="true" outlineLevel="0" collapsed="false">
      <c r="B24" s="11" t="s">
        <v>651</v>
      </c>
      <c r="C24" s="3" t="s">
        <v>653</v>
      </c>
      <c r="D24" s="23" t="n">
        <f aca="false">l2_cost+l3_cost*0.5/0.6*(1-0.3)/0.61</f>
        <v>13441.6120218579</v>
      </c>
      <c r="E24" s="23" t="n">
        <f aca="false">l2_cost+l3_cost*0.5/0.6*(1-0.35)/0.61</f>
        <v>12805.0683060109</v>
      </c>
      <c r="F24" s="23" t="n">
        <f aca="false">l2_cost+l3_cost*0.5/0.6*(1-0.4)/0.61</f>
        <v>12168.5245901639</v>
      </c>
      <c r="G24" s="23" t="n">
        <f aca="false">l2_cost+l3_cost*0.5/0.6*(1-0.5)/0.61</f>
        <v>10895.4371584699</v>
      </c>
    </row>
    <row r="25" customFormat="false" ht="14.25" hidden="false" customHeight="true" outlineLevel="0" collapsed="false">
      <c r="B25" s="11" t="s">
        <v>654</v>
      </c>
      <c r="C25" s="3" t="s">
        <v>653</v>
      </c>
      <c r="D25" s="23" t="n">
        <f aca="false">l2_cost+l3_cost*0.6/0.6*(1-0.3)/0.61</f>
        <v>15223.9344262295</v>
      </c>
      <c r="E25" s="23" t="n">
        <f aca="false">l2_cost+l3_cost*0.6/0.6*(1-0.35)/0.61</f>
        <v>14460.0819672131</v>
      </c>
      <c r="F25" s="23" t="n">
        <f aca="false">l2_cost+l3_cost*0.6/0.6*(1-0.4)/0.61</f>
        <v>13696.2295081967</v>
      </c>
      <c r="G25" s="23" t="n">
        <f aca="false">l2_cost+l3_cost*0.6/0.6*(1-0.5)/0.61</f>
        <v>12168.5245901639</v>
      </c>
    </row>
    <row r="26" customFormat="false" ht="14.25" hidden="false" customHeight="true" outlineLevel="0" collapsed="false">
      <c r="B26" s="11" t="s">
        <v>655</v>
      </c>
      <c r="C26" s="3" t="s">
        <v>653</v>
      </c>
      <c r="D26" s="23" t="n">
        <f aca="false">l2_cost+l3_cost*0.7/0.6*(1-0.3)/0.61</f>
        <v>17006.2568306011</v>
      </c>
      <c r="E26" s="23" t="n">
        <f aca="false">l2_cost+l3_cost*0.7/0.6*(1-0.35)/0.61</f>
        <v>16115.0956284153</v>
      </c>
      <c r="F26" s="23" t="n">
        <f aca="false">l2_cost+l3_cost*0.7/0.6*(1-0.4)/0.61</f>
        <v>15223.9344262295</v>
      </c>
      <c r="G26" s="23" t="n">
        <f aca="false">l2_cost+l3_cost*0.7/0.6*(1-0.5)/0.61</f>
        <v>13441.6120218579</v>
      </c>
    </row>
    <row r="27" customFormat="false" ht="14.25" hidden="false" customHeight="true" outlineLevel="0" collapsed="false">
      <c r="B27" s="11" t="s">
        <v>656</v>
      </c>
      <c r="C27" s="3" t="s">
        <v>653</v>
      </c>
      <c r="D27" s="23" t="n">
        <f aca="false">l2_cost+l3_cost*0.8/0.6*(1-0.3)/0.61</f>
        <v>18788.5792349727</v>
      </c>
      <c r="E27" s="23" t="n">
        <f aca="false">l2_cost+l3_cost*0.8/0.6*(1-0.35)/0.61</f>
        <v>17770.1092896175</v>
      </c>
      <c r="F27" s="23" t="n">
        <f aca="false">l2_cost+l3_cost*0.8/0.6*(1-0.4)/0.61</f>
        <v>16751.6393442623</v>
      </c>
      <c r="G27" s="23" t="n">
        <f aca="false">l2_cost+l3_cost*0.8/0.6*(1-0.5)/0.61</f>
        <v>14714.6994535519</v>
      </c>
    </row>
    <row r="30" customFormat="false" ht="14.25" hidden="false" customHeight="true" outlineLevel="0" collapsed="false">
      <c r="B30" s="4" t="s">
        <v>657</v>
      </c>
      <c r="C30" s="5"/>
      <c r="D30" s="5"/>
      <c r="E30" s="5"/>
      <c r="F30" s="5"/>
      <c r="G30" s="5"/>
      <c r="H30" s="5"/>
      <c r="I30" s="5"/>
    </row>
    <row r="31" customFormat="false" ht="14.25" hidden="false" customHeight="true" outlineLevel="0" collapsed="false">
      <c r="B31" s="6" t="s">
        <v>658</v>
      </c>
    </row>
    <row r="32" customFormat="false" ht="14.25" hidden="false" customHeight="true" outlineLevel="0" collapsed="false">
      <c r="B32" s="4" t="s">
        <v>659</v>
      </c>
      <c r="C32" s="4" t="s">
        <v>660</v>
      </c>
      <c r="D32" s="4" t="s">
        <v>661</v>
      </c>
      <c r="E32" s="4" t="s">
        <v>60</v>
      </c>
    </row>
    <row r="33" customFormat="false" ht="32.25" hidden="false" customHeight="true" outlineLevel="0" collapsed="false">
      <c r="B33" s="6" t="s">
        <v>640</v>
      </c>
      <c r="C33" s="8" t="n">
        <f aca="false">scen_spend_uplift-(npv_base+(50000-fee_annual)*cards_y1*5*0.923)/(spend_base*0.0013*cards_y1*5*0.923)</f>
        <v>7.36361563291659</v>
      </c>
      <c r="D33" s="6" t="str">
        <f aca="false">IF(C33&lt;=4_Scenarios!$F$5,"YES","MAYBE")</f>
        <v>MAYBE</v>
      </c>
      <c r="E33" s="18" t="s">
        <v>662</v>
      </c>
    </row>
    <row r="34" customFormat="false" ht="21.75" hidden="false" customHeight="true" outlineLevel="0" collapsed="false">
      <c r="B34" s="6" t="s">
        <v>643</v>
      </c>
      <c r="C34" s="8" t="n">
        <f aca="false">scen_spend_uplift-(npv_base+(60000-fee_annual)*cards_y1*5*0.923)/(spend_base*0.0013*cards_y1*5*0.923)</f>
        <v>3.31716234921975</v>
      </c>
      <c r="D34" s="6" t="str">
        <f aca="false">IF(C33&lt;=4_Scenarios!$F$5,"YES","MAYBE")</f>
        <v>MAYBE</v>
      </c>
      <c r="E34" s="18" t="s">
        <v>663</v>
      </c>
    </row>
    <row r="35" customFormat="false" ht="21.75" hidden="false" customHeight="true" outlineLevel="0" collapsed="false">
      <c r="B35" s="6" t="s">
        <v>644</v>
      </c>
      <c r="C35" s="8" t="n">
        <f aca="false">scen_spend_uplift-(npv_base+(66000-fee_annual)*cards_y1*5*0.923)/(spend_base*0.0013*cards_y1*5*0.923)</f>
        <v>0.889290379001647</v>
      </c>
      <c r="D35" s="6" t="str">
        <f aca="false">IF(C33&lt;=4_Scenarios!$F$5,"YES","MAYBE")</f>
        <v>MAYBE</v>
      </c>
      <c r="E35" s="18" t="s">
        <v>664</v>
      </c>
    </row>
    <row r="36" customFormat="false" ht="21.75" hidden="false" customHeight="true" outlineLevel="0" collapsed="false">
      <c r="B36" s="6" t="s">
        <v>645</v>
      </c>
      <c r="C36" s="8" t="n">
        <f aca="false">scen_spend_uplift-(npv_base+(70000-fee_annual)*cards_y1*5*0.923)/(spend_base*0.0013*cards_y1*5*0.923)</f>
        <v>-0.729290934477089</v>
      </c>
      <c r="D36" s="6" t="str">
        <f aca="false">IF(C33&lt;=4_Scenarios!$F$5,"YES","MAYBE")</f>
        <v>MAYBE</v>
      </c>
      <c r="E36" s="18" t="s">
        <v>665</v>
      </c>
    </row>
    <row r="39" customFormat="false" ht="14.25" hidden="false" customHeight="true" outlineLevel="0" collapsed="false">
      <c r="B39" s="4" t="s">
        <v>666</v>
      </c>
      <c r="C39" s="5"/>
      <c r="D39" s="5"/>
      <c r="E39" s="5"/>
      <c r="F39" s="5"/>
      <c r="G39" s="5"/>
      <c r="H39" s="5"/>
      <c r="I39" s="5"/>
    </row>
    <row r="40" customFormat="false" ht="14.25" hidden="false" customHeight="true" outlineLevel="0" collapsed="false">
      <c r="B40" s="4" t="s">
        <v>667</v>
      </c>
      <c r="C40" s="4" t="s">
        <v>668</v>
      </c>
      <c r="D40" s="4" t="s">
        <v>669</v>
      </c>
      <c r="E40" s="4" t="s">
        <v>670</v>
      </c>
      <c r="F40" s="4" t="s">
        <v>19</v>
      </c>
    </row>
    <row r="41" customFormat="false" ht="61.5" hidden="false" customHeight="true" outlineLevel="0" collapsed="false">
      <c r="B41" s="11" t="s">
        <v>671</v>
      </c>
      <c r="C41" s="18" t="s">
        <v>672</v>
      </c>
      <c r="D41" s="18" t="s">
        <v>673</v>
      </c>
      <c r="E41" s="18" t="s">
        <v>674</v>
      </c>
      <c r="F41" s="6" t="s">
        <v>675</v>
      </c>
    </row>
    <row r="42" customFormat="false" ht="47.25" hidden="false" customHeight="true" outlineLevel="0" collapsed="false">
      <c r="B42" s="11" t="s">
        <v>671</v>
      </c>
      <c r="C42" s="18" t="s">
        <v>676</v>
      </c>
      <c r="D42" s="18" t="s">
        <v>677</v>
      </c>
      <c r="E42" s="18" t="s">
        <v>678</v>
      </c>
      <c r="F42" s="6" t="s">
        <v>679</v>
      </c>
    </row>
    <row r="43" customFormat="false" ht="61.5" hidden="false" customHeight="true" outlineLevel="0" collapsed="false">
      <c r="B43" s="11" t="s">
        <v>680</v>
      </c>
      <c r="C43" s="18" t="s">
        <v>681</v>
      </c>
      <c r="D43" s="18" t="s">
        <v>682</v>
      </c>
      <c r="E43" s="18" t="s">
        <v>683</v>
      </c>
      <c r="F43" s="6" t="s">
        <v>684</v>
      </c>
    </row>
    <row r="44" customFormat="false" ht="47.25" hidden="false" customHeight="true" outlineLevel="0" collapsed="false">
      <c r="B44" s="11" t="s">
        <v>680</v>
      </c>
      <c r="C44" s="18" t="s">
        <v>685</v>
      </c>
      <c r="D44" s="18" t="s">
        <v>686</v>
      </c>
      <c r="E44" s="18" t="s">
        <v>687</v>
      </c>
      <c r="F44" s="6" t="s">
        <v>688</v>
      </c>
    </row>
    <row r="45" customFormat="false" ht="47.25" hidden="false" customHeight="true" outlineLevel="0" collapsed="false">
      <c r="B45" s="11" t="s">
        <v>680</v>
      </c>
      <c r="C45" s="18" t="s">
        <v>689</v>
      </c>
      <c r="D45" s="18" t="s">
        <v>690</v>
      </c>
      <c r="E45" s="18" t="s">
        <v>691</v>
      </c>
      <c r="F45" s="6" t="s">
        <v>692</v>
      </c>
    </row>
    <row r="46" customFormat="false" ht="47.25" hidden="false" customHeight="true" outlineLevel="0" collapsed="false">
      <c r="B46" s="11" t="s">
        <v>693</v>
      </c>
      <c r="C46" s="18" t="s">
        <v>694</v>
      </c>
      <c r="D46" s="18" t="s">
        <v>695</v>
      </c>
      <c r="E46" s="18" t="s">
        <v>696</v>
      </c>
      <c r="F46" s="6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4" activeCellId="0" sqref="C74"/>
    </sheetView>
  </sheetViews>
  <sheetFormatPr defaultColWidth="8.6328125" defaultRowHeight="14.25" zeroHeight="false" outlineLevelRow="0" outlineLevelCol="0"/>
  <cols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4"/>
  </cols>
  <sheetData>
    <row r="1" customFormat="false" ht="15.75" hidden="false" customHeight="true" outlineLevel="0" collapsed="false">
      <c r="B1" s="1" t="s">
        <v>698</v>
      </c>
      <c r="C1" s="2"/>
      <c r="D1" s="3" t="s">
        <v>699</v>
      </c>
    </row>
    <row r="3" customFormat="false" ht="14.25" hidden="false" customHeight="true" outlineLevel="0" collapsed="false">
      <c r="B3" s="4" t="s">
        <v>700</v>
      </c>
    </row>
    <row r="5" customFormat="false" ht="14.25" hidden="false" customHeight="true" outlineLevel="0" collapsed="false">
      <c r="B5" s="6" t="s">
        <v>701</v>
      </c>
      <c r="C5" s="23" t="n">
        <f aca="false">card_base</f>
        <v>40000</v>
      </c>
    </row>
    <row r="6" customFormat="false" ht="14.25" hidden="false" customHeight="true" outlineLevel="0" collapsed="false">
      <c r="B6" s="6" t="s">
        <v>702</v>
      </c>
      <c r="C6" s="23" t="n">
        <f aca="false">fee_baseline</f>
        <v>60000</v>
      </c>
    </row>
    <row r="7" customFormat="false" ht="14.25" hidden="false" customHeight="true" outlineLevel="0" collapsed="false">
      <c r="B7" s="6" t="s">
        <v>703</v>
      </c>
      <c r="C7" s="23" t="n">
        <f aca="false">fee_annual</f>
        <v>68000</v>
      </c>
    </row>
    <row r="8" customFormat="false" ht="14.25" hidden="false" customHeight="true" outlineLevel="0" collapsed="false">
      <c r="B8" s="6" t="s">
        <v>704</v>
      </c>
      <c r="C8" s="23" t="n">
        <f aca="false">fee_annual-fee_baseline</f>
        <v>8000</v>
      </c>
    </row>
    <row r="9" customFormat="false" ht="14.25" hidden="false" customHeight="true" outlineLevel="0" collapsed="false">
      <c r="B9" s="6" t="s">
        <v>705</v>
      </c>
      <c r="C9" s="23" t="n">
        <f aca="false">spend_base</f>
        <v>1901000</v>
      </c>
    </row>
    <row r="11" customFormat="false" ht="14.25" hidden="false" customHeight="true" outlineLevel="0" collapsed="false">
      <c r="B11" s="4" t="s">
        <v>706</v>
      </c>
    </row>
    <row r="13" customFormat="false" ht="14.25" hidden="false" customHeight="true" outlineLevel="0" collapsed="false">
      <c r="B13" s="6" t="s">
        <v>707</v>
      </c>
      <c r="C13" s="23" t="n">
        <f aca="false">l1_cost_retained</f>
        <v>38900</v>
      </c>
    </row>
    <row r="14" customFormat="false" ht="14.25" hidden="false" customHeight="true" outlineLevel="0" collapsed="false">
      <c r="B14" s="6" t="s">
        <v>708</v>
      </c>
      <c r="C14" s="23" t="n">
        <f aca="false">l2_cost</f>
        <v>4530</v>
      </c>
    </row>
    <row r="15" customFormat="false" ht="14.25" hidden="false" customHeight="true" outlineLevel="0" collapsed="false">
      <c r="B15" s="6" t="s">
        <v>709</v>
      </c>
      <c r="C15" s="23" t="n">
        <f aca="false">l3_cost</f>
        <v>9319</v>
      </c>
    </row>
    <row r="16" customFormat="false" ht="14.25" hidden="false" customHeight="true" outlineLevel="0" collapsed="false">
      <c r="B16" s="6" t="s">
        <v>710</v>
      </c>
      <c r="C16" s="23" t="n">
        <f aca="false">new_benefit_cost</f>
        <v>13849</v>
      </c>
    </row>
    <row r="17" customFormat="false" ht="14.25" hidden="false" customHeight="true" outlineLevel="0" collapsed="false">
      <c r="B17" s="6" t="s">
        <v>711</v>
      </c>
      <c r="C17" s="23" t="n">
        <f aca="false">benefit_headroom</f>
        <v>6151</v>
      </c>
    </row>
    <row r="18" customFormat="false" ht="14.25" hidden="false" customHeight="true" outlineLevel="0" collapsed="false">
      <c r="B18" s="6" t="s">
        <v>712</v>
      </c>
      <c r="C18" s="23" t="n">
        <f aca="false">new_benefit_face</f>
        <v>53200</v>
      </c>
    </row>
    <row r="19" customFormat="false" ht="14.25" hidden="false" customHeight="true" outlineLevel="0" collapsed="false">
      <c r="B19" s="6" t="s">
        <v>713</v>
      </c>
      <c r="C19" s="37" t="n">
        <f aca="false">benefit_leverage</f>
        <v>3.84143259441115</v>
      </c>
    </row>
    <row r="21" customFormat="false" ht="14.25" hidden="false" customHeight="true" outlineLevel="0" collapsed="false">
      <c r="B21" s="4" t="s">
        <v>714</v>
      </c>
    </row>
    <row r="23" customFormat="false" ht="14.25" hidden="false" customHeight="true" outlineLevel="0" collapsed="false">
      <c r="B23" s="6" t="s">
        <v>715</v>
      </c>
      <c r="C23" s="46" t="n">
        <f aca="false">invest_y0</f>
        <v>55000000</v>
      </c>
    </row>
    <row r="24" customFormat="false" ht="14.25" hidden="false" customHeight="true" outlineLevel="0" collapsed="false">
      <c r="B24" s="6" t="s">
        <v>716</v>
      </c>
      <c r="C24" s="23" t="n">
        <f aca="false">cards_y0</f>
        <v>40000</v>
      </c>
    </row>
    <row r="25" customFormat="false" ht="14.25" hidden="false" customHeight="true" outlineLevel="0" collapsed="false">
      <c r="B25" s="6" t="s">
        <v>717</v>
      </c>
      <c r="C25" s="23" t="n">
        <f aca="false">cards_y5</f>
        <v>65091.9801133474</v>
      </c>
    </row>
    <row r="26" customFormat="false" ht="14.25" hidden="false" customHeight="true" outlineLevel="0" collapsed="false">
      <c r="B26" s="6" t="s">
        <v>718</v>
      </c>
      <c r="C26" s="23" t="n">
        <f aca="false">cards_y5_cf</f>
        <v>58773.123072</v>
      </c>
    </row>
    <row r="27" customFormat="false" ht="14.25" hidden="false" customHeight="true" outlineLevel="0" collapsed="false">
      <c r="B27" s="6" t="s">
        <v>719</v>
      </c>
      <c r="C27" s="23" t="n">
        <f aca="false">contrib_pre</f>
        <v>22128.7294465753</v>
      </c>
    </row>
    <row r="28" customFormat="false" ht="14.25" hidden="false" customHeight="true" outlineLevel="0" collapsed="false">
      <c r="B28" s="6" t="s">
        <v>720</v>
      </c>
      <c r="C28" s="23" t="n">
        <f aca="false">fee_annual-fee_baseline</f>
        <v>8000</v>
      </c>
    </row>
    <row r="29" customFormat="false" ht="14.25" hidden="false" customHeight="true" outlineLevel="0" collapsed="false">
      <c r="B29" s="6" t="s">
        <v>721</v>
      </c>
      <c r="C29" s="23" t="n">
        <f aca="false">contrib_incr</f>
        <v>5935.21835572603</v>
      </c>
    </row>
    <row r="30" customFormat="false" ht="14.25" hidden="false" customHeight="true" outlineLevel="0" collapsed="false">
      <c r="B30" s="6" t="s">
        <v>722</v>
      </c>
      <c r="C30" s="46" t="n">
        <f aca="false">5_ROI_NPV!D33</f>
        <v>174.717699144311</v>
      </c>
    </row>
    <row r="32" customFormat="false" ht="14.25" hidden="false" customHeight="true" outlineLevel="0" collapsed="false">
      <c r="B32" s="4" t="s">
        <v>723</v>
      </c>
    </row>
    <row r="34" customFormat="false" ht="14.25" hidden="false" customHeight="true" outlineLevel="0" collapsed="false">
      <c r="B34" s="11" t="s">
        <v>724</v>
      </c>
      <c r="C34" s="48" t="n">
        <f aca="false">npv_base</f>
        <v>132.448435408206</v>
      </c>
    </row>
    <row r="35" customFormat="false" ht="14.25" hidden="false" customHeight="true" outlineLevel="0" collapsed="false">
      <c r="B35" s="11" t="s">
        <v>725</v>
      </c>
      <c r="C35" s="14" t="n">
        <f aca="false">irr_base</f>
        <v>4.22346931173906</v>
      </c>
    </row>
    <row r="36" customFormat="false" ht="14.25" hidden="false" customHeight="true" outlineLevel="0" collapsed="false">
      <c r="B36" s="11" t="s">
        <v>607</v>
      </c>
      <c r="C36" s="33" t="n">
        <f aca="false">mult_base</f>
        <v>31.7668543898748</v>
      </c>
    </row>
    <row r="37" customFormat="false" ht="14.25" hidden="false" customHeight="true" outlineLevel="0" collapsed="false">
      <c r="B37" s="11" t="s">
        <v>726</v>
      </c>
      <c r="C37" s="11" t="str">
        <f aca="false">payback_base</f>
        <v>Y1</v>
      </c>
    </row>
    <row r="38" customFormat="false" ht="14.25" hidden="false" customHeight="true" outlineLevel="0" collapsed="false">
      <c r="B38" s="6" t="s">
        <v>727</v>
      </c>
      <c r="C38" s="23" t="n">
        <f aca="false">delta_breakeven</f>
        <v>273.917928409213</v>
      </c>
    </row>
    <row r="39" customFormat="false" ht="14.25" hidden="false" customHeight="true" outlineLevel="0" collapsed="false">
      <c r="B39" s="6" t="s">
        <v>728</v>
      </c>
      <c r="C39" s="23" t="n">
        <f aca="false">delta_gap</f>
        <v>-5661.30042731682</v>
      </c>
    </row>
    <row r="41" customFormat="false" ht="14.25" hidden="false" customHeight="true" outlineLevel="0" collapsed="false">
      <c r="B41" s="4" t="s">
        <v>729</v>
      </c>
    </row>
    <row r="43" customFormat="false" ht="33" hidden="false" customHeight="true" outlineLevel="0" collapsed="false">
      <c r="B43" s="6" t="s">
        <v>730</v>
      </c>
      <c r="C43" s="18" t="s">
        <v>731</v>
      </c>
    </row>
    <row r="44" customFormat="false" ht="33" hidden="false" customHeight="true" outlineLevel="0" collapsed="false">
      <c r="B44" s="6" t="s">
        <v>732</v>
      </c>
      <c r="C44" s="18" t="s">
        <v>733</v>
      </c>
    </row>
    <row r="45" customFormat="false" ht="18" hidden="false" customHeight="true" outlineLevel="0" collapsed="false">
      <c r="B45" s="6" t="s">
        <v>734</v>
      </c>
      <c r="C45" s="18" t="s">
        <v>735</v>
      </c>
    </row>
    <row r="46" customFormat="false" ht="33" hidden="false" customHeight="true" outlineLevel="0" collapsed="false">
      <c r="B46" s="6" t="s">
        <v>736</v>
      </c>
      <c r="C46" s="18" t="s">
        <v>737</v>
      </c>
    </row>
    <row r="47" customFormat="false" ht="18" hidden="false" customHeight="true" outlineLevel="0" collapsed="false">
      <c r="B47" s="6" t="s">
        <v>738</v>
      </c>
      <c r="C47" s="18" t="s">
        <v>739</v>
      </c>
    </row>
    <row r="49" customFormat="false" ht="14.25" hidden="false" customHeight="true" outlineLevel="0" collapsed="false">
      <c r="B49" s="4" t="s">
        <v>740</v>
      </c>
    </row>
    <row r="51" customFormat="false" ht="14.25" hidden="false" customHeight="true" outlineLevel="0" collapsed="false">
      <c r="B51" s="6" t="s">
        <v>741</v>
      </c>
      <c r="C51" s="8" t="n">
        <f aca="false">scen_spend_uplift</f>
        <v>0.08</v>
      </c>
    </row>
    <row r="52" customFormat="false" ht="14.25" hidden="false" customHeight="true" outlineLevel="0" collapsed="false">
      <c r="B52" s="6" t="s">
        <v>482</v>
      </c>
      <c r="C52" s="8" t="n">
        <f aca="false">scen_attrition</f>
        <v>0.09</v>
      </c>
    </row>
    <row r="53" customFormat="false" ht="14.25" hidden="false" customHeight="true" outlineLevel="0" collapsed="false">
      <c r="B53" s="6" t="s">
        <v>486</v>
      </c>
      <c r="C53" s="8" t="n">
        <f aca="false">scen_acq_uplift</f>
        <v>0.15</v>
      </c>
    </row>
    <row r="54" customFormat="false" ht="14.25" hidden="false" customHeight="true" outlineLevel="0" collapsed="false">
      <c r="B54" s="6" t="s">
        <v>490</v>
      </c>
      <c r="C54" s="8" t="n">
        <f aca="false">scen_fee_acceptance</f>
        <v>0.928333333333333</v>
      </c>
    </row>
    <row r="55" customFormat="false" ht="14.25" hidden="false" customHeight="true" outlineLevel="0" collapsed="false">
      <c r="B55" s="6" t="s">
        <v>35</v>
      </c>
      <c r="C55" s="23" t="n">
        <f aca="false">mr_cpp</f>
        <v>0.26</v>
      </c>
    </row>
    <row r="56" customFormat="false" ht="14.25" hidden="false" customHeight="true" outlineLevel="0" collapsed="false">
      <c r="B56" s="6" t="s">
        <v>742</v>
      </c>
      <c r="C56" s="8" t="n">
        <f aca="false">wacc</f>
        <v>0.083</v>
      </c>
    </row>
    <row r="59" customFormat="false" ht="14.25" hidden="false" customHeight="true" outlineLevel="0" collapsed="false">
      <c r="B59" s="4" t="s">
        <v>743</v>
      </c>
    </row>
    <row r="61" customFormat="false" ht="18" hidden="false" customHeight="true" outlineLevel="0" collapsed="false">
      <c r="B61" s="18" t="s">
        <v>744</v>
      </c>
    </row>
    <row r="62" customFormat="false" ht="18" hidden="false" customHeight="true" outlineLevel="0" collapsed="false">
      <c r="B62" s="18" t="s">
        <v>745</v>
      </c>
    </row>
    <row r="63" customFormat="false" ht="33" hidden="false" customHeight="true" outlineLevel="0" collapsed="false">
      <c r="B63" s="18" t="s">
        <v>746</v>
      </c>
    </row>
    <row r="64" customFormat="false" ht="18" hidden="false" customHeight="true" outlineLevel="0" collapsed="false">
      <c r="B64" s="18" t="s">
        <v>747</v>
      </c>
    </row>
    <row r="65" customFormat="false" ht="18" hidden="false" customHeight="true" outlineLevel="0" collapsed="false">
      <c r="B65" s="18" t="s">
        <v>748</v>
      </c>
    </row>
    <row r="66" customFormat="false" ht="18" hidden="false" customHeight="true" outlineLevel="0" collapsed="false">
      <c r="B66" s="18" t="s">
        <v>749</v>
      </c>
    </row>
    <row r="69" customFormat="false" ht="14.25" hidden="false" customHeight="true" outlineLevel="0" collapsed="false">
      <c r="B69" s="4" t="s">
        <v>750</v>
      </c>
    </row>
    <row r="71" customFormat="false" ht="18" hidden="false" customHeight="true" outlineLevel="0" collapsed="false">
      <c r="B71" s="6" t="s">
        <v>751</v>
      </c>
      <c r="C71" s="18" t="s">
        <v>752</v>
      </c>
    </row>
    <row r="72" customFormat="false" ht="33" hidden="false" customHeight="true" outlineLevel="0" collapsed="false">
      <c r="B72" s="6" t="s">
        <v>753</v>
      </c>
      <c r="C72" s="18" t="s">
        <v>754</v>
      </c>
    </row>
    <row r="73" customFormat="false" ht="33" hidden="false" customHeight="true" outlineLevel="0" collapsed="false">
      <c r="B73" s="6" t="s">
        <v>755</v>
      </c>
      <c r="C73" s="18" t="str">
        <f aca="false">"NPV ₹"&amp;ROUND(npv_base,0)&amp;" Cr, IRR "&amp;ROUND(irr_base*100,2)&amp;"%, payback within Year 1 — driven by fee pricing power + attrition control."</f>
        <v>NPV ₹132 Cr, IRR 422.35%, payback within Year 1 — driven by fee pricing power + attrition control.</v>
      </c>
    </row>
    <row r="74" customFormat="false" ht="33" hidden="false" customHeight="true" outlineLevel="0" collapsed="false">
      <c r="B74" s="6" t="s">
        <v>756</v>
      </c>
      <c r="C74" s="18" t="s">
        <v>757</v>
      </c>
    </row>
    <row r="75" customFormat="false" ht="18" hidden="false" customHeight="true" outlineLevel="0" collapsed="false">
      <c r="B75" s="6" t="s">
        <v>758</v>
      </c>
      <c r="C75" s="18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2026-08-15T08:13:51Z</dcterms:created>
  <dc:creator>openpyxl</dc:creator>
  <dc:description/>
  <dc:language>en-US</dc:language>
  <cp:lastModifiedBy>Vansh Bhandari</cp:lastModifiedBy>
  <dcterms:modified xsi:type="dcterms:W3CDTF">2026-08-16T13:28:26Z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