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nsh\Downloads\"/>
    </mc:Choice>
  </mc:AlternateContent>
  <xr:revisionPtr revIDLastSave="0" documentId="8_{39B20E25-91BC-43DD-B0FC-59B3AEA16AA3}" xr6:coauthVersionLast="47" xr6:coauthVersionMax="47" xr10:uidLastSave="{00000000-0000-0000-0000-000000000000}"/>
  <bookViews>
    <workbookView xWindow="4390" yWindow="640" windowWidth="14400" windowHeight="7810" tabRatio="500" firstSheet="2" activeTab="3" xr2:uid="{00000000-000D-0000-FFFF-FFFF00000000}"/>
  </bookViews>
  <sheets>
    <sheet name="1_Assumptions" sheetId="1" r:id="rId1"/>
    <sheet name="2_Baseline_PnL" sheetId="2" r:id="rId2"/>
    <sheet name="3_Benefit" sheetId="3" r:id="rId3"/>
    <sheet name="3B_Reallocation" sheetId="4" r:id="rId4"/>
    <sheet name="4_Scenarios" sheetId="5" r:id="rId5"/>
    <sheet name="5_ROI_NPV" sheetId="6" r:id="rId6"/>
    <sheet name="6_Sensitivity" sheetId="7" r:id="rId7"/>
    <sheet name="7_Output_Summary" sheetId="8" r:id="rId8"/>
  </sheets>
  <definedNames>
    <definedName name="acc_base">'4_Scenarios'!$K$9</definedName>
    <definedName name="acc_elasticity">'4_Scenarios'!$K$10</definedName>
    <definedName name="acq_rate_base">'5_ROI_NPV'!$L$7</definedName>
    <definedName name="assume_accept">'7_Output_Summary'!$C$54</definedName>
    <definedName name="assume_acq">'7_Output_Summary'!$C$53</definedName>
    <definedName name="assume_attr">'7_Output_Summary'!$C$52</definedName>
    <definedName name="assume_mr">'7_Output_Summary'!$C$55</definedName>
    <definedName name="assume_spend">'7_Output_Summary'!$C$51</definedName>
    <definedName name="assume_wacc">'7_Output_Summary'!$C$56</definedName>
    <definedName name="attain_baseline">'4_Scenarios'!$K$4</definedName>
    <definedName name="attrition">'1_Assumptions'!$D$17</definedName>
    <definedName name="benefit_cost_total">'7_Output_Summary'!$C$16</definedName>
    <definedName name="benefit_face_summary">'7_Output_Summary'!$C$18</definedName>
    <definedName name="benefit_headroom">'3_Benefit'!$D$40</definedName>
    <definedName name="benefit_headroom_summary">'7_Output_Summary'!$C$17</definedName>
    <definedName name="benefit_leverage">'3_Benefit'!$D$41</definedName>
    <definedName name="benefit_leverage_summary">'7_Output_Summary'!$C$19</definedName>
    <definedName name="bizdev_rate">'2_Baseline_PnL'!$M$5</definedName>
    <definedName name="bonus_renewal">'1_Assumptions'!$D$20</definedName>
    <definedName name="bonus_welcome">'1_Assumptions'!$D$19</definedName>
    <definedName name="breakeven_summary">'7_Output_Summary'!$C$38</definedName>
    <definedName name="cac">'2_Baseline_PnL'!$M$9</definedName>
    <definedName name="cac_life">'2_Baseline_PnL'!$M$10</definedName>
    <definedName name="card_base">'1_Assumptions'!$D$10</definedName>
    <definedName name="cards">'7_Output_Summary'!$C$5</definedName>
    <definedName name="cards_incr_y1">'5_ROI_NPV'!$E$9</definedName>
    <definedName name="cards_y0">'5_ROI_NPV'!$D$48</definedName>
    <definedName name="cards_y0_out">'7_Output_Summary'!$C$24</definedName>
    <definedName name="cards_y1">'5_ROI_NPV'!$E$7</definedName>
    <definedName name="cards_y5">'5_ROI_NPV'!$D$49</definedName>
    <definedName name="cards_y5_cf">'5_ROI_NPV'!$D$50</definedName>
    <definedName name="cards_y5_cf_out">'7_Output_Summary'!$C$26</definedName>
    <definedName name="cards_y5_out">'7_Output_Summary'!$C$25</definedName>
    <definedName name="cl_rate">'2_Baseline_PnL'!$M$6</definedName>
    <definedName name="cms_rate">'2_Baseline_PnL'!$M$13</definedName>
    <definedName name="contrib_incr">'5_ROI_NPV'!$D$57</definedName>
    <definedName name="contrib_post">'5_ROI_NPV'!$D$56</definedName>
    <definedName name="contrib_pre">'5_ROI_NPV'!$D$55</definedName>
    <definedName name="contrib_pre_summary">'7_Output_Summary'!$C$27</definedName>
    <definedName name="cost_ceiling">'1_Assumptions'!$D$18</definedName>
    <definedName name="delta_breakeven">'5_ROI_NPV'!$D$59</definedName>
    <definedName name="delta_gap">'5_ROI_NPV'!$D$60</definedName>
    <definedName name="disc_rate">'2_Baseline_PnL'!$M$3</definedName>
    <definedName name="discount_rate_cof">'1_Assumptions'!$D$11</definedName>
    <definedName name="emi_margin_net">'1_Assumptions'!$D$9</definedName>
    <definedName name="emi_penetration">'1_Assumptions'!$D$8</definedName>
    <definedName name="fcf_cumul_summary">'7_Output_Summary'!$C$30</definedName>
    <definedName name="fcf_percard_summary">'7_Output_Summary'!$C$29</definedName>
    <definedName name="fee_annual">'1_Assumptions'!$D$3</definedName>
    <definedName name="fee_baseline">'4_Scenarios'!$K$3</definedName>
    <definedName name="fee_delta">'7_Output_Summary'!$C$8</definedName>
    <definedName name="fee_gain_summary">'7_Output_Summary'!$C$28</definedName>
    <definedName name="fee_gross">'1_Assumptions'!$D$5</definedName>
    <definedName name="fee_post">'7_Output_Summary'!$C$7</definedName>
    <definedName name="fee_pre">'7_Output_Summary'!$C$6</definedName>
    <definedName name="float_days">'2_Baseline_PnL'!$M$8</definedName>
    <definedName name="fraud_rate">'2_Baseline_PnL'!$M$7</definedName>
    <definedName name="fx_markup">'2_Baseline_PnL'!$M$4</definedName>
    <definedName name="gap_summary">'7_Output_Summary'!$C$39</definedName>
    <definedName name="gst_rate">'1_Assumptions'!$D$4</definedName>
    <definedName name="inv_app_build">'5_ROI_NPV'!$L$3</definedName>
    <definedName name="inv_launch_mkt">'5_ROI_NPV'!$L$4</definedName>
    <definedName name="inv_ongoing_mkt">'5_ROI_NPV'!$L$6</definedName>
    <definedName name="inv_total_y0">'5_ROI_NPV'!$L$5</definedName>
    <definedName name="inv_y0_summary">'7_Output_Summary'!$C$23</definedName>
    <definedName name="invest_y0">'5_ROI_NPV'!$D$58</definedName>
    <definedName name="irr_base">'5_ROI_NPV'!$D$52</definedName>
    <definedName name="irr_summary">'7_Output_Summary'!$C$35</definedName>
    <definedName name="l1_cost_retained">'3_Benefit'!$D$42</definedName>
    <definedName name="l1_cost_summary">'7_Output_Summary'!$C$13</definedName>
    <definedName name="l1_reclaim">'4_Scenarios'!$K$8</definedName>
    <definedName name="l2_cost">'3_Benefit'!$D$36</definedName>
    <definedName name="l2_cost_summary">'7_Output_Summary'!$C$14</definedName>
    <definedName name="l3_cost">'3_Benefit'!$D$37</definedName>
    <definedName name="l3_cost_summary">'7_Output_Summary'!$C$15</definedName>
    <definedName name="ladder_redeem">'4_Scenarios'!$K$7</definedName>
    <definedName name="ladder_unit">'4_Scenarios'!$K$6</definedName>
    <definedName name="layer1_cost">'2_Baseline_PnL'!$M$12</definedName>
    <definedName name="mix_dining">'1_Assumptions'!$F$6</definedName>
    <definedName name="mix_intl">'1_Assumptions'!$D$6</definedName>
    <definedName name="mix_other">'1_Assumptions'!$G$6</definedName>
    <definedName name="mix_travel">'1_Assumptions'!$E$6</definedName>
    <definedName name="mr_cpp">'1_Assumptions'!$D$14</definedName>
    <definedName name="mr_multiplier">'1_Assumptions'!$D$15</definedName>
    <definedName name="mult_base">'5_ROI_NPV'!$D$53</definedName>
    <definedName name="mult_summary">'7_Output_Summary'!$C$36</definedName>
    <definedName name="new_benefit_cost">'3_Benefit'!$D$38</definedName>
    <definedName name="new_benefit_face">'3_Benefit'!$C$38</definedName>
    <definedName name="new_card_pct">'2_Baseline_PnL'!$M$11</definedName>
    <definedName name="npv_base">'5_ROI_NPV'!$D$51</definedName>
    <definedName name="npv_summary">'7_Output_Summary'!$C$34</definedName>
    <definedName name="payback_base">'5_ROI_NPV'!$D$54</definedName>
    <definedName name="payback_summary">'7_Output_Summary'!$C$37</definedName>
    <definedName name="redemption_rate">'1_Assumptions'!$D$16</definedName>
    <definedName name="risk_premium">'1_Assumptions'!$D$12</definedName>
    <definedName name="scen_acq_uplift">'4_Scenarios'!$G$49</definedName>
    <definedName name="scen_attrition">'4_Scenarios'!$G$48</definedName>
    <definedName name="scen_benefit_cost">'4_Scenarios'!$G$47</definedName>
    <definedName name="scen_contrib_delta">'4_Scenarios'!$G$45</definedName>
    <definedName name="scen_contrib_percard">'4_Scenarios'!$G$44</definedName>
    <definedName name="scen_contrib_pre">'4_Scenarios'!$G$46</definedName>
    <definedName name="scen_fee_acceptance">'4_Scenarios'!$G$50</definedName>
    <definedName name="scen_spend_uplift">'4_Scenarios'!$G$51</definedName>
    <definedName name="scenario">'1_Assumptions'!$D$7</definedName>
    <definedName name="spend_base">'2_Baseline_PnL'!$I$5</definedName>
    <definedName name="spend_blended">'7_Output_Summary'!$C$9</definedName>
    <definedName name="util_baseline">'4_Scenarios'!$K$5</definedName>
    <definedName name="wacc">'1_Assumptions'!$D$13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5" i="8" l="1"/>
  <c r="C28" i="8"/>
  <c r="C8" i="8"/>
  <c r="C7" i="8"/>
  <c r="C6" i="8"/>
  <c r="C5" i="8"/>
  <c r="F10" i="7"/>
  <c r="E10" i="7"/>
  <c r="D10" i="7"/>
  <c r="F9" i="7"/>
  <c r="E9" i="7"/>
  <c r="D9" i="7"/>
  <c r="F8" i="7"/>
  <c r="E8" i="7"/>
  <c r="D8" i="7"/>
  <c r="F7" i="7"/>
  <c r="E7" i="7"/>
  <c r="D7" i="7"/>
  <c r="F6" i="7"/>
  <c r="E6" i="7"/>
  <c r="D6" i="7"/>
  <c r="F5" i="7"/>
  <c r="E5" i="7"/>
  <c r="D5" i="7"/>
  <c r="D67" i="6"/>
  <c r="D48" i="6"/>
  <c r="C24" i="8" s="1"/>
  <c r="D24" i="6"/>
  <c r="D23" i="6"/>
  <c r="D22" i="6"/>
  <c r="D21" i="6"/>
  <c r="D20" i="6"/>
  <c r="I19" i="6"/>
  <c r="H19" i="6"/>
  <c r="G19" i="6"/>
  <c r="F19" i="6"/>
  <c r="E19" i="6"/>
  <c r="D16" i="6"/>
  <c r="H13" i="6"/>
  <c r="E13" i="6"/>
  <c r="D13" i="6"/>
  <c r="G13" i="6" s="1"/>
  <c r="E8" i="6"/>
  <c r="F8" i="6" s="1"/>
  <c r="D8" i="6"/>
  <c r="D7" i="6"/>
  <c r="D9" i="6" s="1"/>
  <c r="D6" i="6"/>
  <c r="L5" i="6"/>
  <c r="D19" i="6" s="1"/>
  <c r="E5" i="6"/>
  <c r="D5" i="6"/>
  <c r="E57" i="5"/>
  <c r="D57" i="5"/>
  <c r="E56" i="5"/>
  <c r="D56" i="5"/>
  <c r="F51" i="5"/>
  <c r="E51" i="5"/>
  <c r="D51" i="5"/>
  <c r="E50" i="5"/>
  <c r="F49" i="5"/>
  <c r="E49" i="5"/>
  <c r="D49" i="5"/>
  <c r="F48" i="5"/>
  <c r="E48" i="5"/>
  <c r="D48" i="5"/>
  <c r="G31" i="5"/>
  <c r="F31" i="5"/>
  <c r="E31" i="5"/>
  <c r="D31" i="5"/>
  <c r="G28" i="5"/>
  <c r="F28" i="5"/>
  <c r="E28" i="5"/>
  <c r="D28" i="5"/>
  <c r="G24" i="5"/>
  <c r="G23" i="5"/>
  <c r="G22" i="5"/>
  <c r="G21" i="5"/>
  <c r="F18" i="5"/>
  <c r="E18" i="5"/>
  <c r="D18" i="5"/>
  <c r="G15" i="5"/>
  <c r="F15" i="5"/>
  <c r="E15" i="5"/>
  <c r="D15" i="5"/>
  <c r="G11" i="5"/>
  <c r="G50" i="5" s="1"/>
  <c r="C54" i="8" s="1"/>
  <c r="F11" i="5"/>
  <c r="F50" i="5" s="1"/>
  <c r="E11" i="5"/>
  <c r="D11" i="5"/>
  <c r="D50" i="5" s="1"/>
  <c r="G10" i="5"/>
  <c r="G49" i="5" s="1"/>
  <c r="G9" i="5"/>
  <c r="G48" i="5" s="1"/>
  <c r="C52" i="8" s="1"/>
  <c r="G8" i="5"/>
  <c r="G7" i="5"/>
  <c r="G6" i="5"/>
  <c r="G5" i="5"/>
  <c r="G51" i="5" s="1"/>
  <c r="D18" i="4"/>
  <c r="D15" i="4"/>
  <c r="D16" i="4" s="1"/>
  <c r="D69" i="3"/>
  <c r="C69" i="3"/>
  <c r="H56" i="3"/>
  <c r="G56" i="3"/>
  <c r="F56" i="3"/>
  <c r="E56" i="3"/>
  <c r="D56" i="3"/>
  <c r="C56" i="3"/>
  <c r="B56" i="3"/>
  <c r="H55" i="3"/>
  <c r="G55" i="3"/>
  <c r="F55" i="3"/>
  <c r="E55" i="3"/>
  <c r="D55" i="3"/>
  <c r="C55" i="3"/>
  <c r="B55" i="3"/>
  <c r="H54" i="3"/>
  <c r="G54" i="3"/>
  <c r="F54" i="3"/>
  <c r="E54" i="3"/>
  <c r="D54" i="3"/>
  <c r="C54" i="3"/>
  <c r="B54" i="3"/>
  <c r="H53" i="3"/>
  <c r="G53" i="3"/>
  <c r="F53" i="3"/>
  <c r="E53" i="3"/>
  <c r="D53" i="3"/>
  <c r="C53" i="3"/>
  <c r="B53" i="3"/>
  <c r="H52" i="3"/>
  <c r="G52" i="3"/>
  <c r="F52" i="3"/>
  <c r="E52" i="3"/>
  <c r="D52" i="3"/>
  <c r="C52" i="3"/>
  <c r="B52" i="3"/>
  <c r="H51" i="3"/>
  <c r="G51" i="3"/>
  <c r="F51" i="3"/>
  <c r="E51" i="3"/>
  <c r="D51" i="3"/>
  <c r="C51" i="3"/>
  <c r="B51" i="3"/>
  <c r="H50" i="3"/>
  <c r="G50" i="3"/>
  <c r="F50" i="3"/>
  <c r="E50" i="3"/>
  <c r="D50" i="3"/>
  <c r="C50" i="3"/>
  <c r="B50" i="3"/>
  <c r="H49" i="3"/>
  <c r="H57" i="3" s="1"/>
  <c r="G49" i="3"/>
  <c r="F49" i="3"/>
  <c r="E49" i="3"/>
  <c r="D49" i="3"/>
  <c r="C49" i="3"/>
  <c r="B49" i="3"/>
  <c r="H48" i="3"/>
  <c r="G48" i="3"/>
  <c r="G57" i="3" s="1"/>
  <c r="F48" i="3"/>
  <c r="F57" i="3" s="1"/>
  <c r="E48" i="3"/>
  <c r="E57" i="3" s="1"/>
  <c r="D48" i="3"/>
  <c r="D57" i="3" s="1"/>
  <c r="C48" i="3"/>
  <c r="B48" i="3"/>
  <c r="D39" i="3"/>
  <c r="C36" i="3"/>
  <c r="C38" i="3" s="1"/>
  <c r="C18" i="8" s="1"/>
  <c r="G31" i="3"/>
  <c r="C37" i="3" s="1"/>
  <c r="L30" i="3"/>
  <c r="K30" i="3"/>
  <c r="L29" i="3"/>
  <c r="K29" i="3"/>
  <c r="L28" i="3"/>
  <c r="K28" i="3"/>
  <c r="L27" i="3"/>
  <c r="K27" i="3"/>
  <c r="L26" i="3"/>
  <c r="K26" i="3"/>
  <c r="L25" i="3"/>
  <c r="L31" i="3" s="1"/>
  <c r="K25" i="3"/>
  <c r="K31" i="3" s="1"/>
  <c r="D37" i="3" s="1"/>
  <c r="G22" i="3"/>
  <c r="L21" i="3"/>
  <c r="K21" i="3"/>
  <c r="L20" i="3"/>
  <c r="K20" i="3"/>
  <c r="L19" i="3"/>
  <c r="L22" i="3" s="1"/>
  <c r="K19" i="3"/>
  <c r="K22" i="3" s="1"/>
  <c r="D36" i="3" s="1"/>
  <c r="G16" i="3"/>
  <c r="K15" i="3"/>
  <c r="L15" i="3" s="1"/>
  <c r="L14" i="3"/>
  <c r="K14" i="3"/>
  <c r="K13" i="3"/>
  <c r="L13" i="3" s="1"/>
  <c r="K12" i="3"/>
  <c r="L12" i="3" s="1"/>
  <c r="K11" i="3"/>
  <c r="L11" i="3" s="1"/>
  <c r="K10" i="3"/>
  <c r="L10" i="3" s="1"/>
  <c r="K9" i="3"/>
  <c r="L9" i="3" s="1"/>
  <c r="L8" i="3"/>
  <c r="K8" i="3"/>
  <c r="K7" i="3"/>
  <c r="L7" i="3" s="1"/>
  <c r="K6" i="3"/>
  <c r="L6" i="3" s="1"/>
  <c r="K5" i="3"/>
  <c r="L5" i="3" s="1"/>
  <c r="F35" i="2"/>
  <c r="E35" i="2"/>
  <c r="D35" i="2"/>
  <c r="I35" i="2" s="1"/>
  <c r="J35" i="2" s="1"/>
  <c r="H34" i="2"/>
  <c r="G34" i="2"/>
  <c r="F34" i="2"/>
  <c r="I34" i="2" s="1"/>
  <c r="E34" i="2"/>
  <c r="D34" i="2"/>
  <c r="F33" i="2"/>
  <c r="E33" i="2"/>
  <c r="D33" i="2"/>
  <c r="H32" i="2"/>
  <c r="G32" i="2"/>
  <c r="I32" i="2" s="1"/>
  <c r="F32" i="2"/>
  <c r="E32" i="2"/>
  <c r="D32" i="2"/>
  <c r="H31" i="2"/>
  <c r="G31" i="2"/>
  <c r="F31" i="2"/>
  <c r="E31" i="2"/>
  <c r="D31" i="2"/>
  <c r="I31" i="2" s="1"/>
  <c r="J31" i="2" s="1"/>
  <c r="I30" i="2"/>
  <c r="J30" i="2" s="1"/>
  <c r="H30" i="2"/>
  <c r="G30" i="2"/>
  <c r="F30" i="2"/>
  <c r="E30" i="2"/>
  <c r="D30" i="2"/>
  <c r="H25" i="2"/>
  <c r="G25" i="2"/>
  <c r="F25" i="2"/>
  <c r="E25" i="2"/>
  <c r="I25" i="2" s="1"/>
  <c r="D25" i="2"/>
  <c r="H24" i="2"/>
  <c r="G24" i="2"/>
  <c r="F24" i="2"/>
  <c r="E24" i="2"/>
  <c r="D24" i="2"/>
  <c r="I24" i="2" s="1"/>
  <c r="H23" i="2"/>
  <c r="H26" i="2" s="1"/>
  <c r="G23" i="2"/>
  <c r="F23" i="2"/>
  <c r="I23" i="2" s="1"/>
  <c r="E23" i="2"/>
  <c r="D23" i="2"/>
  <c r="H22" i="2"/>
  <c r="G22" i="2"/>
  <c r="G26" i="2" s="1"/>
  <c r="F22" i="2"/>
  <c r="F26" i="2" s="1"/>
  <c r="E22" i="2"/>
  <c r="E26" i="2" s="1"/>
  <c r="D22" i="2"/>
  <c r="I22" i="2" s="1"/>
  <c r="G19" i="2"/>
  <c r="G29" i="2" s="1"/>
  <c r="F19" i="2"/>
  <c r="F29" i="2" s="1"/>
  <c r="F36" i="2" s="1"/>
  <c r="H18" i="2"/>
  <c r="G18" i="2"/>
  <c r="F18" i="2"/>
  <c r="E18" i="2"/>
  <c r="D18" i="2"/>
  <c r="I18" i="2" s="1"/>
  <c r="H17" i="2"/>
  <c r="H19" i="2" s="1"/>
  <c r="H29" i="2" s="1"/>
  <c r="G17" i="2"/>
  <c r="F17" i="2"/>
  <c r="I17" i="2" s="1"/>
  <c r="E17" i="2"/>
  <c r="D17" i="2"/>
  <c r="H16" i="2"/>
  <c r="G16" i="2"/>
  <c r="F16" i="2"/>
  <c r="E16" i="2"/>
  <c r="E19" i="2" s="1"/>
  <c r="E29" i="2" s="1"/>
  <c r="E36" i="2" s="1"/>
  <c r="D16" i="2"/>
  <c r="D19" i="2" s="1"/>
  <c r="H13" i="2"/>
  <c r="G13" i="2"/>
  <c r="F13" i="2"/>
  <c r="E13" i="2"/>
  <c r="D13" i="2"/>
  <c r="H12" i="2"/>
  <c r="G12" i="2"/>
  <c r="F12" i="2"/>
  <c r="E12" i="2"/>
  <c r="D12" i="2"/>
  <c r="I12" i="2" s="1"/>
  <c r="J12" i="2" s="1"/>
  <c r="I11" i="2"/>
  <c r="J11" i="2" s="1"/>
  <c r="H11" i="2"/>
  <c r="G11" i="2"/>
  <c r="F11" i="2"/>
  <c r="E11" i="2"/>
  <c r="D11" i="2"/>
  <c r="H10" i="2"/>
  <c r="G10" i="2"/>
  <c r="F10" i="2"/>
  <c r="E10" i="2"/>
  <c r="D10" i="2"/>
  <c r="H7" i="2"/>
  <c r="H35" i="2" s="1"/>
  <c r="G7" i="2"/>
  <c r="G35" i="2" s="1"/>
  <c r="F7" i="2"/>
  <c r="E7" i="2"/>
  <c r="D7" i="2"/>
  <c r="I7" i="2" s="1"/>
  <c r="I5" i="2"/>
  <c r="I45" i="2" s="1"/>
  <c r="J45" i="2" s="1"/>
  <c r="I4" i="2"/>
  <c r="D13" i="1"/>
  <c r="C56" i="8" s="1"/>
  <c r="H6" i="1"/>
  <c r="I6" i="1" s="1"/>
  <c r="D5" i="1"/>
  <c r="F20" i="5" l="1"/>
  <c r="E20" i="5"/>
  <c r="G20" i="5" s="1"/>
  <c r="D20" i="5"/>
  <c r="C51" i="8"/>
  <c r="I13" i="2"/>
  <c r="J13" i="2" s="1"/>
  <c r="C15" i="8"/>
  <c r="F30" i="5"/>
  <c r="E30" i="5"/>
  <c r="G30" i="5" s="1"/>
  <c r="D30" i="5"/>
  <c r="G8" i="6"/>
  <c r="G36" i="2"/>
  <c r="F58" i="3"/>
  <c r="F59" i="3"/>
  <c r="I33" i="2"/>
  <c r="J33" i="2" s="1"/>
  <c r="D40" i="3"/>
  <c r="H59" i="3"/>
  <c r="H58" i="3"/>
  <c r="E39" i="2"/>
  <c r="E40" i="2" s="1"/>
  <c r="G58" i="3"/>
  <c r="G59" i="3"/>
  <c r="G39" i="2"/>
  <c r="G40" i="2" s="1"/>
  <c r="I44" i="2"/>
  <c r="J44" i="2" s="1"/>
  <c r="J23" i="2"/>
  <c r="D41" i="3"/>
  <c r="D26" i="7"/>
  <c r="D23" i="7"/>
  <c r="G25" i="7"/>
  <c r="C14" i="8"/>
  <c r="F25" i="7"/>
  <c r="D38" i="3"/>
  <c r="E25" i="7"/>
  <c r="F27" i="5"/>
  <c r="D25" i="7"/>
  <c r="E27" i="5"/>
  <c r="G27" i="7"/>
  <c r="G24" i="7"/>
  <c r="D27" i="5"/>
  <c r="F27" i="7"/>
  <c r="F24" i="7"/>
  <c r="E27" i="7"/>
  <c r="E24" i="7"/>
  <c r="D27" i="7"/>
  <c r="D24" i="7"/>
  <c r="G26" i="7"/>
  <c r="G23" i="7"/>
  <c r="F26" i="7"/>
  <c r="F23" i="7"/>
  <c r="E26" i="7"/>
  <c r="E23" i="7"/>
  <c r="D58" i="3"/>
  <c r="C60" i="3"/>
  <c r="D66" i="3"/>
  <c r="C66" i="3"/>
  <c r="D59" i="3"/>
  <c r="E58" i="3"/>
  <c r="E59" i="3"/>
  <c r="D25" i="6"/>
  <c r="D58" i="6"/>
  <c r="C23" i="8" s="1"/>
  <c r="F39" i="2"/>
  <c r="F40" i="2" s="1"/>
  <c r="I19" i="2"/>
  <c r="D29" i="2"/>
  <c r="I10" i="2"/>
  <c r="K16" i="3"/>
  <c r="C53" i="8"/>
  <c r="E6" i="6"/>
  <c r="I13" i="6"/>
  <c r="D41" i="6"/>
  <c r="G18" i="5"/>
  <c r="D28" i="6"/>
  <c r="D19" i="5"/>
  <c r="D25" i="5" s="1"/>
  <c r="D38" i="5" s="1"/>
  <c r="E28" i="6"/>
  <c r="E19" i="5"/>
  <c r="F28" i="6"/>
  <c r="F19" i="5"/>
  <c r="F25" i="5" s="1"/>
  <c r="F38" i="5" s="1"/>
  <c r="G28" i="6"/>
  <c r="H28" i="6"/>
  <c r="K32" i="3"/>
  <c r="D26" i="2"/>
  <c r="G33" i="2"/>
  <c r="H33" i="2"/>
  <c r="H36" i="2" s="1"/>
  <c r="H39" i="2" s="1"/>
  <c r="H40" i="2" s="1"/>
  <c r="I28" i="6"/>
  <c r="C9" i="8"/>
  <c r="I16" i="2"/>
  <c r="F13" i="6"/>
  <c r="E7" i="6" l="1"/>
  <c r="F5" i="6"/>
  <c r="C65" i="3"/>
  <c r="C19" i="8"/>
  <c r="D65" i="3"/>
  <c r="D29" i="6"/>
  <c r="D37" i="6"/>
  <c r="J10" i="2"/>
  <c r="I46" i="2"/>
  <c r="J46" i="2" s="1"/>
  <c r="E39" i="5"/>
  <c r="G27" i="5"/>
  <c r="E29" i="5"/>
  <c r="G19" i="5"/>
  <c r="E25" i="5"/>
  <c r="F29" i="5"/>
  <c r="F32" i="5" s="1"/>
  <c r="F39" i="5"/>
  <c r="I26" i="2"/>
  <c r="J26" i="2" s="1"/>
  <c r="D67" i="3"/>
  <c r="C67" i="3"/>
  <c r="H8" i="6"/>
  <c r="D39" i="5"/>
  <c r="D29" i="5"/>
  <c r="D32" i="5" s="1"/>
  <c r="D64" i="3"/>
  <c r="C64" i="3"/>
  <c r="C17" i="8"/>
  <c r="L16" i="3"/>
  <c r="D42" i="3"/>
  <c r="D36" i="2"/>
  <c r="I36" i="2" s="1"/>
  <c r="J36" i="2" s="1"/>
  <c r="I29" i="2"/>
  <c r="C16" i="8"/>
  <c r="D63" i="3"/>
  <c r="C63" i="3"/>
  <c r="C13" i="8" l="1"/>
  <c r="D68" i="3"/>
  <c r="C68" i="3"/>
  <c r="E38" i="5"/>
  <c r="G38" i="5" s="1"/>
  <c r="G25" i="5"/>
  <c r="G29" i="5"/>
  <c r="E32" i="5"/>
  <c r="G32" i="5" s="1"/>
  <c r="D47" i="5"/>
  <c r="E55" i="5"/>
  <c r="D55" i="5"/>
  <c r="D40" i="5"/>
  <c r="E47" i="5"/>
  <c r="E40" i="5"/>
  <c r="G40" i="5" s="1"/>
  <c r="G39" i="5"/>
  <c r="G47" i="5" s="1"/>
  <c r="I43" i="2"/>
  <c r="J43" i="2" s="1"/>
  <c r="J29" i="2"/>
  <c r="E54" i="5"/>
  <c r="D54" i="5"/>
  <c r="F40" i="5"/>
  <c r="F47" i="5"/>
  <c r="I8" i="6"/>
  <c r="F6" i="6"/>
  <c r="F7" i="6" s="1"/>
  <c r="D39" i="2"/>
  <c r="E9" i="6"/>
  <c r="E20" i="6"/>
  <c r="F9" i="6" l="1"/>
  <c r="F20" i="6"/>
  <c r="D50" i="6"/>
  <c r="C26" i="8" s="1"/>
  <c r="E21" i="6"/>
  <c r="I39" i="2"/>
  <c r="D40" i="2"/>
  <c r="G5" i="6"/>
  <c r="D42" i="6"/>
  <c r="D43" i="6" s="1"/>
  <c r="E14" i="5" l="1"/>
  <c r="D14" i="5"/>
  <c r="D16" i="5" s="1"/>
  <c r="I40" i="2"/>
  <c r="F14" i="5"/>
  <c r="F16" i="5" s="1"/>
  <c r="D59" i="6"/>
  <c r="C38" i="8" s="1"/>
  <c r="G6" i="6"/>
  <c r="G7" i="6" s="1"/>
  <c r="F21" i="6"/>
  <c r="G9" i="6" l="1"/>
  <c r="G20" i="6"/>
  <c r="H5" i="6"/>
  <c r="F46" i="5"/>
  <c r="F33" i="5"/>
  <c r="F41" i="5" s="1"/>
  <c r="F34" i="5"/>
  <c r="D34" i="5"/>
  <c r="D46" i="5"/>
  <c r="D33" i="5"/>
  <c r="D41" i="5" s="1"/>
  <c r="E16" i="5"/>
  <c r="G14" i="5"/>
  <c r="E34" i="5" l="1"/>
  <c r="G16" i="5"/>
  <c r="G46" i="5" s="1"/>
  <c r="D12" i="6" s="1"/>
  <c r="E46" i="5"/>
  <c r="E33" i="5"/>
  <c r="E58" i="5"/>
  <c r="D58" i="5"/>
  <c r="D44" i="5"/>
  <c r="D35" i="5"/>
  <c r="D45" i="5" s="1"/>
  <c r="F35" i="5"/>
  <c r="F45" i="5" s="1"/>
  <c r="F44" i="5"/>
  <c r="G21" i="6"/>
  <c r="H6" i="6"/>
  <c r="I5" i="6" s="1"/>
  <c r="I6" i="6" l="1"/>
  <c r="I7" i="6"/>
  <c r="D65" i="6"/>
  <c r="I12" i="6"/>
  <c r="H12" i="6"/>
  <c r="G12" i="6"/>
  <c r="F12" i="6"/>
  <c r="E12" i="6"/>
  <c r="D55" i="6"/>
  <c r="C27" i="8" s="1"/>
  <c r="H7" i="6"/>
  <c r="E44" i="5"/>
  <c r="E35" i="5"/>
  <c r="G34" i="5"/>
  <c r="G44" i="5" s="1"/>
  <c r="G33" i="5"/>
  <c r="E41" i="5"/>
  <c r="G41" i="5" s="1"/>
  <c r="H9" i="6" l="1"/>
  <c r="H20" i="6"/>
  <c r="D64" i="6"/>
  <c r="D49" i="6"/>
  <c r="C25" i="8" s="1"/>
  <c r="I20" i="6"/>
  <c r="I9" i="6"/>
  <c r="E59" i="5"/>
  <c r="G35" i="5"/>
  <c r="G45" i="5" s="1"/>
  <c r="D14" i="6" s="1"/>
  <c r="D59" i="5"/>
  <c r="E45" i="5"/>
  <c r="I21" i="6" l="1"/>
  <c r="I14" i="6"/>
  <c r="H14" i="6"/>
  <c r="G14" i="6"/>
  <c r="D44" i="6"/>
  <c r="F14" i="6"/>
  <c r="E14" i="6"/>
  <c r="D45" i="6"/>
  <c r="D60" i="6" s="1"/>
  <c r="C39" i="8" s="1"/>
  <c r="D15" i="6"/>
  <c r="D56" i="6" s="1"/>
  <c r="H21" i="6"/>
  <c r="E16" i="6" l="1"/>
  <c r="E15" i="6"/>
  <c r="E23" i="6" s="1"/>
  <c r="F16" i="6"/>
  <c r="F22" i="6" s="1"/>
  <c r="F15" i="6"/>
  <c r="F23" i="6" s="1"/>
  <c r="G16" i="6"/>
  <c r="G22" i="6" s="1"/>
  <c r="G15" i="6"/>
  <c r="G23" i="6" s="1"/>
  <c r="H16" i="6"/>
  <c r="H22" i="6" s="1"/>
  <c r="H15" i="6"/>
  <c r="H23" i="6" s="1"/>
  <c r="I16" i="6"/>
  <c r="I22" i="6" s="1"/>
  <c r="I15" i="6"/>
  <c r="I23" i="6" s="1"/>
  <c r="I24" i="6" l="1"/>
  <c r="I25" i="6" s="1"/>
  <c r="I29" i="6" s="1"/>
  <c r="H24" i="6"/>
  <c r="H25" i="6" s="1"/>
  <c r="H29" i="6" s="1"/>
  <c r="G24" i="6"/>
  <c r="G25" i="6" s="1"/>
  <c r="G29" i="6" s="1"/>
  <c r="F24" i="6"/>
  <c r="F25" i="6" s="1"/>
  <c r="F29" i="6" s="1"/>
  <c r="D63" i="6"/>
  <c r="D57" i="6"/>
  <c r="C29" i="8" s="1"/>
  <c r="E22" i="6"/>
  <c r="E24" i="6" s="1"/>
  <c r="E25" i="6" s="1"/>
  <c r="E29" i="6" l="1"/>
  <c r="D31" i="6" s="1"/>
  <c r="D33" i="6"/>
  <c r="D32" i="6"/>
  <c r="D52" i="6" s="1"/>
  <c r="C35" i="8" s="1"/>
  <c r="I37" i="6"/>
  <c r="H37" i="6"/>
  <c r="G37" i="6"/>
  <c r="F37" i="6"/>
  <c r="E37" i="6"/>
  <c r="D38" i="6" s="1"/>
  <c r="D54" i="6" s="1"/>
  <c r="C37" i="8" s="1"/>
  <c r="C30" i="8" l="1"/>
  <c r="D34" i="6"/>
  <c r="D53" i="6" s="1"/>
  <c r="C36" i="8" s="1"/>
  <c r="D66" i="6"/>
  <c r="D51" i="6"/>
  <c r="C73" i="8" l="1"/>
  <c r="C34" i="8"/>
  <c r="D18" i="7"/>
  <c r="D16" i="7"/>
  <c r="I6" i="7"/>
  <c r="I19" i="7"/>
  <c r="I17" i="7"/>
  <c r="I15" i="7"/>
  <c r="H19" i="7"/>
  <c r="H17" i="7"/>
  <c r="H15" i="7"/>
  <c r="J9" i="7"/>
  <c r="G19" i="7"/>
  <c r="G17" i="7"/>
  <c r="G15" i="7"/>
  <c r="I9" i="7"/>
  <c r="F19" i="7"/>
  <c r="F17" i="7"/>
  <c r="F15" i="7"/>
  <c r="E19" i="7"/>
  <c r="E17" i="7"/>
  <c r="E15" i="7"/>
  <c r="D19" i="7"/>
  <c r="D17" i="7"/>
  <c r="D15" i="7"/>
  <c r="J5" i="7"/>
  <c r="I18" i="7"/>
  <c r="I16" i="7"/>
  <c r="J10" i="7"/>
  <c r="I5" i="7"/>
  <c r="H18" i="7"/>
  <c r="H16" i="7"/>
  <c r="I10" i="7"/>
  <c r="G18" i="7"/>
  <c r="G16" i="7"/>
  <c r="J8" i="7"/>
  <c r="F18" i="7"/>
  <c r="F16" i="7"/>
  <c r="I8" i="7"/>
  <c r="E18" i="7"/>
  <c r="E16" i="7"/>
  <c r="J6" i="7"/>
  <c r="G6" i="7" s="1"/>
  <c r="J7" i="7"/>
  <c r="C35" i="7"/>
  <c r="C34" i="7"/>
  <c r="I7" i="7"/>
  <c r="C33" i="7"/>
  <c r="C36" i="7"/>
  <c r="G5" i="7" l="1"/>
  <c r="G8" i="7"/>
  <c r="G9" i="7"/>
  <c r="D34" i="7"/>
  <c r="D33" i="7"/>
  <c r="D36" i="7"/>
  <c r="D35" i="7"/>
  <c r="G7" i="7"/>
  <c r="H7" i="7" s="1"/>
  <c r="G10" i="7"/>
  <c r="H10" i="7" s="1"/>
  <c r="H6" i="7" l="1"/>
  <c r="H9" i="7"/>
  <c r="H5" i="7"/>
  <c r="H8" i="7"/>
</calcChain>
</file>

<file path=xl/sharedStrings.xml><?xml version="1.0" encoding="utf-8"?>
<sst xmlns="http://schemas.openxmlformats.org/spreadsheetml/2006/main" count="1089" uniqueCount="760">
  <si>
    <t>PLATINUM 365 — ASSUMPTIONS REGISTRY</t>
  </si>
  <si>
    <t>Column C = model reference ID. See Tab notes (col F/6) for sourcing of each figure.</t>
  </si>
  <si>
    <t>CONTROL BLOCK</t>
  </si>
  <si>
    <t>Annual fee (ex-GST)</t>
  </si>
  <si>
    <t>A1</t>
  </si>
  <si>
    <t>INPUT</t>
  </si>
  <si>
    <t>Central case; PS S3 states ₹60K — Tab 6 justifies ₹66K</t>
  </si>
  <si>
    <t>GST on fee</t>
  </si>
  <si>
    <t>A2</t>
  </si>
  <si>
    <t>FIXED</t>
  </si>
  <si>
    <t>Statute, pass-through — not issuer revenue</t>
  </si>
  <si>
    <t>Gross billed to member</t>
  </si>
  <si>
    <t>A3</t>
  </si>
  <si>
    <t>FORMULA</t>
  </si>
  <si>
    <t>Formula</t>
  </si>
  <si>
    <t>Spend mix (intl/trv/din/oth)</t>
  </si>
  <si>
    <t>B5</t>
  </si>
  <si>
    <t>Scenario selector</t>
  </si>
  <si>
    <t>—</t>
  </si>
  <si>
    <t>Base</t>
  </si>
  <si>
    <t>Drives Tabs 4–6</t>
  </si>
  <si>
    <t>EMI penetration %</t>
  </si>
  <si>
    <t>Of ≥₹19L segments only</t>
  </si>
  <si>
    <t>EMI net margin %</t>
  </si>
  <si>
    <t>C6</t>
  </si>
  <si>
    <t>Charge card — bounded book, not 8.1%</t>
  </si>
  <si>
    <t>Card base size</t>
  </si>
  <si>
    <t>Bottom-up 38.5K / top-down 30–55K</t>
  </si>
  <si>
    <t>Cost of funds</t>
  </si>
  <si>
    <t>D12</t>
  </si>
  <si>
    <t>AEBC business ratios</t>
  </si>
  <si>
    <t>Risk premium</t>
  </si>
  <si>
    <t>Amex-specific</t>
  </si>
  <si>
    <t>Discount rate (WACC)</t>
  </si>
  <si>
    <t>Formula — used in Tab 5 NPV</t>
  </si>
  <si>
    <t>MR cost per point</t>
  </si>
  <si>
    <t>D1</t>
  </si>
  <si>
    <t>Derived, AEBC Note 12(p); range ₹0.21–0.33</t>
  </si>
  <si>
    <t>MR blended multiplier</t>
  </si>
  <si>
    <t>B4</t>
  </si>
  <si>
    <t>From A5 + spend mix</t>
  </si>
  <si>
    <t>Ultimate redemption rate</t>
  </si>
  <si>
    <t>D4</t>
  </si>
  <si>
    <t>AR2025</t>
  </si>
  <si>
    <t>Baseline attrition</t>
  </si>
  <si>
    <t>Pre-redesign annual churn</t>
  </si>
  <si>
    <t>Incremental benefit ceiling</t>
  </si>
  <si>
    <t>A12</t>
  </si>
  <si>
    <t>PS S4 constraint 2 — HARD</t>
  </si>
  <si>
    <t>Welcome bonus (annual)</t>
  </si>
  <si>
    <t>A13</t>
  </si>
  <si>
    <t>Renewal bonus (annual)</t>
  </si>
  <si>
    <t>A14</t>
  </si>
  <si>
    <t>ID</t>
  </si>
  <si>
    <t>Category</t>
  </si>
  <si>
    <t>Parameter</t>
  </si>
  <si>
    <t>Value</t>
  </si>
  <si>
    <t>Unit</t>
  </si>
  <si>
    <t>Source</t>
  </si>
  <si>
    <t>Conf</t>
  </si>
  <si>
    <t>Note</t>
  </si>
  <si>
    <t>— PART A — CARD SPECIFICATION —</t>
  </si>
  <si>
    <t>Card spec</t>
  </si>
  <si>
    <t>₹60,000 (range ₹50–70K)</t>
  </si>
  <si>
    <t>₹</t>
  </si>
  <si>
    <t>PS S3</t>
  </si>
  <si>
    <t>H</t>
  </si>
  <si>
    <t>Central case runs ₹66K — see Tab 6</t>
  </si>
  <si>
    <t>GST</t>
  </si>
  <si>
    <t>18%, pass-through</t>
  </si>
  <si>
    <t>%</t>
  </si>
  <si>
    <t>Statute</t>
  </si>
  <si>
    <t>Not issuer revenue</t>
  </si>
  <si>
    <t>Gross billed to customer</t>
  </si>
  <si>
    <t>₹70,800 @A1; ₹77,880 @₹66K</t>
  </si>
  <si>
    <t>A1×1.18</t>
  </si>
  <si>
    <t>M</t>
  </si>
  <si>
    <t>A4</t>
  </si>
  <si>
    <t>Base earn</t>
  </si>
  <si>
    <t>1 pt / ₹50</t>
  </si>
  <si>
    <t>pts</t>
  </si>
  <si>
    <t>A5</t>
  </si>
  <si>
    <t>Multipliers</t>
  </si>
  <si>
    <t>5x intl, 3x travel portal, 2x dining &gt;₹2K</t>
  </si>
  <si>
    <t>×</t>
  </si>
  <si>
    <t>A6</t>
  </si>
  <si>
    <t>Point face value</t>
  </si>
  <si>
    <t>₹0.50 transfer / ₹0.25 stmt credit</t>
  </si>
  <si>
    <t>A7</t>
  </si>
  <si>
    <t>Welcome bonus</t>
  </si>
  <si>
    <t>25,000 pts</t>
  </si>
  <si>
    <t>Amortised 5yr</t>
  </si>
  <si>
    <t>A8</t>
  </si>
  <si>
    <t>Renewal bonus</t>
  </si>
  <si>
    <t>10,000 pts</t>
  </si>
  <si>
    <t>A9</t>
  </si>
  <si>
    <t>Milestone threshold</t>
  </si>
  <si>
    <t>₹19,00,000</t>
  </si>
  <si>
    <t>Anchors blended mean</t>
  </si>
  <si>
    <t>A10</t>
  </si>
  <si>
    <t>Domestic lounge</t>
  </si>
  <si>
    <t>8 visits/yr</t>
  </si>
  <si>
    <t>visits</t>
  </si>
  <si>
    <t>A11</t>
  </si>
  <si>
    <t>Segment income floor</t>
  </si>
  <si>
    <t>₹25L household</t>
  </si>
  <si>
    <t>PS S4</t>
  </si>
  <si>
    <t>≤₹20,000/card/yr</t>
  </si>
  <si>
    <t>HARD CONSTRAINT</t>
  </si>
  <si>
    <t>— PART B — SPEND DISTRIBUTION —</t>
  </si>
  <si>
    <t>B1</t>
  </si>
  <si>
    <t>Spend</t>
  </si>
  <si>
    <t>Blended mean spend</t>
  </si>
  <si>
    <t>₹19.0L</t>
  </si>
  <si>
    <t>Anchored to A9</t>
  </si>
  <si>
    <t>A</t>
  </si>
  <si>
    <t>B2</t>
  </si>
  <si>
    <t>Distribution</t>
  </si>
  <si>
    <t>8/13/19/28/45L @ 18/27/30/17/8%</t>
  </si>
  <si>
    <t>₹/%</t>
  </si>
  <si>
    <t>Derived</t>
  </si>
  <si>
    <t>B3</t>
  </si>
  <si>
    <t>Milestone attainment</t>
  </si>
  <si>
    <t>55%</t>
  </si>
  <si>
    <t>From B2</t>
  </si>
  <si>
    <t>Blended earn multiplier</t>
  </si>
  <si>
    <t>1.90×</t>
  </si>
  <si>
    <t>A5 + spend mix</t>
  </si>
  <si>
    <t>Spend mix</t>
  </si>
  <si>
    <t>15/10/12/63%</t>
  </si>
  <si>
    <t>Assumption</t>
  </si>
  <si>
    <t>Intl/travel/dining/other</t>
  </si>
  <si>
    <t>— PART C — REVENUE RATES —</t>
  </si>
  <si>
    <t>C1</t>
  </si>
  <si>
    <t>Revenue</t>
  </si>
  <si>
    <t>Discount revenue rate</t>
  </si>
  <si>
    <t>2.24% of billed business</t>
  </si>
  <si>
    <t>AR2025 Table 5</t>
  </si>
  <si>
    <t>C2</t>
  </si>
  <si>
    <t>Take-rate trend</t>
  </si>
  <si>
    <t>2.29→2.27→2.24% (FY23→25)</t>
  </si>
  <si>
    <t>C3</t>
  </si>
  <si>
    <t>Everyday-spend take rate</t>
  </si>
  <si>
    <t>2.10% (mix-adjusted)</t>
  </si>
  <si>
    <t>Derived from C2</t>
  </si>
  <si>
    <t>C4</t>
  </si>
  <si>
    <t>FX markup</t>
  </si>
  <si>
    <t>SUPERSEDED → 0%</t>
  </si>
  <si>
    <t>Amex India T&amp;C</t>
  </si>
  <si>
    <t>PS S3 mandates zero forex</t>
  </si>
  <si>
    <t>C5</t>
  </si>
  <si>
    <t>India billed business</t>
  </si>
  <si>
    <t>₹1,12,482 Cr @2.24%</t>
  </si>
  <si>
    <t>₹Cr</t>
  </si>
  <si>
    <t>Derived, Sch.14</t>
  </si>
  <si>
    <t>Net interest yield</t>
  </si>
  <si>
    <t>8.1% global / NIM 5.59% India</t>
  </si>
  <si>
    <t>AR2025 / AEBC</t>
  </si>
  <si>
    <t>Model uses 4.5% — charge card</t>
  </si>
  <si>
    <t>— PART D — COST RATES —</t>
  </si>
  <si>
    <t>Cost</t>
  </si>
  <si>
    <t>MR cost per point (India)</t>
  </si>
  <si>
    <t>₹0.26 (range ₹0.21–0.33)</t>
  </si>
  <si>
    <t>Derived, AEBC Note 12(p)</t>
  </si>
  <si>
    <t>D2</t>
  </si>
  <si>
    <t>India MR P&amp;L charge FY26</t>
  </si>
  <si>
    <t>₹792 Cr</t>
  </si>
  <si>
    <t>AEBC Note 12(p)</t>
  </si>
  <si>
    <t>D3</t>
  </si>
  <si>
    <t>Global WAC per point</t>
  </si>
  <si>
    <t>$0.00677 = 0.68¢</t>
  </si>
  <si>
    <t>$</t>
  </si>
  <si>
    <t>Derived, AR2025</t>
  </si>
  <si>
    <t>Ultimate Redemption Rate</t>
  </si>
  <si>
    <t>96%</t>
  </si>
  <si>
    <t>D5</t>
  </si>
  <si>
    <t>Rewards as % of spend</t>
  </si>
  <si>
    <t>0.99% model vs 1.10% actual</t>
  </si>
  <si>
    <t>D1×B4 / AR2025</t>
  </si>
  <si>
    <t>VALIDATION GATE</t>
  </si>
  <si>
    <t>D6</t>
  </si>
  <si>
    <t>Card Member services</t>
  </si>
  <si>
    <t>0.36% of BB</t>
  </si>
  <si>
    <t>AR2025 Table 4</t>
  </si>
  <si>
    <t>Layer 1 — no ceiling</t>
  </si>
  <si>
    <t>D7</t>
  </si>
  <si>
    <t>Business development</t>
  </si>
  <si>
    <t>0.39% of BB</t>
  </si>
  <si>
    <t>D8</t>
  </si>
  <si>
    <t>Marketing per new card</t>
  </si>
  <si>
    <t>~$500 ≈ ₹43,500</t>
  </si>
  <si>
    <t>5yr amortise, 8% new/yr</t>
  </si>
  <si>
    <t>D9</t>
  </si>
  <si>
    <t>Credit loss rate</t>
  </si>
  <si>
    <t>1.68% India consumer GNPA</t>
  </si>
  <si>
    <t>AEBC sector-wise</t>
  </si>
  <si>
    <t>D10</t>
  </si>
  <si>
    <t>Net write-off (ICS)</t>
  </si>
  <si>
    <t>1.9%</t>
  </si>
  <si>
    <t>AR2025 Table 13</t>
  </si>
  <si>
    <t>D11</t>
  </si>
  <si>
    <t>Fraud loss</t>
  </si>
  <si>
    <t>₹4.9 Cr net on ~₹6,700 Cr</t>
  </si>
  <si>
    <t>AEBC Note 4(e)</t>
  </si>
  <si>
    <t>Model uses 0.05%</t>
  </si>
  <si>
    <t>5.80%</t>
  </si>
  <si>
    <t>— PART E — BENCHMARK / MARKET —</t>
  </si>
  <si>
    <t>E1</t>
  </si>
  <si>
    <t>Market</t>
  </si>
  <si>
    <t>India card spend FY26</t>
  </si>
  <si>
    <t>₹23.62 lakh Cr, +12.0%</t>
  </si>
  <si>
    <t>RBI</t>
  </si>
  <si>
    <t>E2</t>
  </si>
  <si>
    <t>Cards outstanding</t>
  </si>
  <si>
    <t>119.44mn, +8.19% (Apr'26)</t>
  </si>
  <si>
    <t>mn</t>
  </si>
  <si>
    <t>E3</t>
  </si>
  <si>
    <t>US Platinum fee move</t>
  </si>
  <si>
    <t>$695 → $895 (+28.8%)</t>
  </si>
  <si>
    <t>Amex Sept 2025</t>
  </si>
  <si>
    <t>Precedent for repricing</t>
  </si>
  <si>
    <t>E4</t>
  </si>
  <si>
    <t>US benefit value move</t>
  </si>
  <si>
    <t>~$1,400s → ~$3,500</t>
  </si>
  <si>
    <t>Amex</t>
  </si>
  <si>
    <t>E5</t>
  </si>
  <si>
    <t>US benefit cost step-up</t>
  </si>
  <si>
    <t>+$648M/qtr = $2.6bn/yr</t>
  </si>
  <si>
    <t>Q2'26 tables</t>
  </si>
  <si>
    <t>E6</t>
  </si>
  <si>
    <t>US fee capture step-up</t>
  </si>
  <si>
    <t>+$382M/qtr = $1.5bn/yr</t>
  </si>
  <si>
    <t>Still ramping</t>
  </si>
  <si>
    <t>E7</t>
  </si>
  <si>
    <t>HDFC cost-to-income</t>
  </si>
  <si>
    <t>38.0% — not comparable</t>
  </si>
  <si>
    <t>HDFC AR</t>
  </si>
  <si>
    <t>E8</t>
  </si>
  <si>
    <t>Amex India RoA vs HDFC</t>
  </si>
  <si>
    <t>1.41% vs 1.94%</t>
  </si>
  <si>
    <t>AEBC / HDFC</t>
  </si>
  <si>
    <t>The fair comparison</t>
  </si>
  <si>
    <t>TAB 2 — BASELINE P&amp;L (per card, pre-redesign)</t>
  </si>
  <si>
    <t>RATES USED</t>
  </si>
  <si>
    <t>Line item</t>
  </si>
  <si>
    <t>Underused</t>
  </si>
  <si>
    <t>Core</t>
  </si>
  <si>
    <t>Milestone</t>
  </si>
  <si>
    <t>High</t>
  </si>
  <si>
    <t>Whale</t>
  </si>
  <si>
    <t>BLENDED</t>
  </si>
  <si>
    <t>% of BB</t>
  </si>
  <si>
    <t>Discount rate</t>
  </si>
  <si>
    <t>Segment weight</t>
  </si>
  <si>
    <t>Annual spend per card</t>
  </si>
  <si>
    <t>BizDev rate</t>
  </si>
  <si>
    <t>Milestone hit (≥₹19L)</t>
  </si>
  <si>
    <t>no</t>
  </si>
  <si>
    <t>YES</t>
  </si>
  <si>
    <t>Avg receivable (float)</t>
  </si>
  <si>
    <t>Fraud rate</t>
  </si>
  <si>
    <t>Float days</t>
  </si>
  <si>
    <t>SPEND SPLIT</t>
  </si>
  <si>
    <t>CAC</t>
  </si>
  <si>
    <t>International</t>
  </si>
  <si>
    <t>CAC life (yrs)</t>
  </si>
  <si>
    <t>Travel portal</t>
  </si>
  <si>
    <t>New cards % / yr</t>
  </si>
  <si>
    <t>Dining &gt;₹2K</t>
  </si>
  <si>
    <t>Layer 1 benefit cost</t>
  </si>
  <si>
    <t>Other</t>
  </si>
  <si>
    <t>CMS rate (alt method)</t>
  </si>
  <si>
    <t>REWARDS POINTS EARNED</t>
  </si>
  <si>
    <t>Base + multiplier points</t>
  </si>
  <si>
    <t>A4/B4</t>
  </si>
  <si>
    <t>Welcome bonus (amortised)</t>
  </si>
  <si>
    <t>Renewal bonus (amortised)</t>
  </si>
  <si>
    <t>Total points / yr</t>
  </si>
  <si>
    <t>REVENUE</t>
  </si>
  <si>
    <t>Discount revenue</t>
  </si>
  <si>
    <t>FX markup revenue</t>
  </si>
  <si>
    <t>EMI net interest income</t>
  </si>
  <si>
    <t>TOTAL REVENUE</t>
  </si>
  <si>
    <t>COST</t>
  </si>
  <si>
    <t>MR rewards (points × cpp × URR)</t>
  </si>
  <si>
    <t>D1/D4</t>
  </si>
  <si>
    <t>Layer 1 benefits (bottom-up)</t>
  </si>
  <si>
    <t>L1.x</t>
  </si>
  <si>
    <t>Acquisition (amortised)</t>
  </si>
  <si>
    <t>Credit loss (on receivables)</t>
  </si>
  <si>
    <t>Cost of funds (on receivables)</t>
  </si>
  <si>
    <t>TOTAL BASELINE COST</t>
  </si>
  <si>
    <t>OUTPUT</t>
  </si>
  <si>
    <t>Baseline contribution</t>
  </si>
  <si>
    <t>Contribution margin %</t>
  </si>
  <si>
    <t>VALIDATION GATES</t>
  </si>
  <si>
    <t>Rewards as % of spend (D5 gate)</t>
  </si>
  <si>
    <t>Discount revenue ÷ spend</t>
  </si>
  <si>
    <t>Blended spend = ₹19.0L (A9 anchor)</t>
  </si>
  <si>
    <t>Spend split sums to spend</t>
  </si>
  <si>
    <t>PLATINUM 365 — BENEFIT COST ENGINE</t>
  </si>
  <si>
    <t>Net cost = unit x utilisation x (1 - co-fund).  Only Layer 2 + Layer 3 count vs the Rs.20K ceiling.</t>
  </si>
  <si>
    <t>Benefit</t>
  </si>
  <si>
    <t>Layer</t>
  </si>
  <si>
    <t>Status</t>
  </si>
  <si>
    <t>Pillar</t>
  </si>
  <si>
    <t>Face value</t>
  </si>
  <si>
    <t>Unit cost</t>
  </si>
  <si>
    <t>Util %</t>
  </si>
  <si>
    <t>Co-fund %</t>
  </si>
  <si>
    <t>Net cost</t>
  </si>
  <si>
    <t>Cost if activated</t>
  </si>
  <si>
    <t>Counts vs Rs.20K?</t>
  </si>
  <si>
    <t>Tightening / basis</t>
  </si>
  <si>
    <t>LAYER 1 — RETAINED  ·  baseline stack  ·  does NOT count vs the Rs.20K ceiling</t>
  </si>
  <si>
    <t>L1.1</t>
  </si>
  <si>
    <t>Unlimited lounge access</t>
  </si>
  <si>
    <t>RETAIN</t>
  </si>
  <si>
    <t>Travel</t>
  </si>
  <si>
    <t>N</t>
  </si>
  <si>
    <t>Partner subsidy rate</t>
  </si>
  <si>
    <t>L1.2</t>
  </si>
  <si>
    <t>4 hotel elite statuses</t>
  </si>
  <si>
    <t>Negotiated, status-only</t>
  </si>
  <si>
    <t>L1.3</t>
  </si>
  <si>
    <t>Fine Hotels &amp; Resorts credit</t>
  </si>
  <si>
    <t>75% util x co-fund, already net</t>
  </si>
  <si>
    <t>L1.4</t>
  </si>
  <si>
    <t>Golf (unlimited)</t>
  </si>
  <si>
    <t>Lifestyle</t>
  </si>
  <si>
    <t>L1.5</t>
  </si>
  <si>
    <t>Taj 25% discount</t>
  </si>
  <si>
    <t>Revenue-neutral to issuer</t>
  </si>
  <si>
    <t>L1.6</t>
  </si>
  <si>
    <t>Dining perks (EazyDiner + PVR)</t>
  </si>
  <si>
    <t>Dining</t>
  </si>
  <si>
    <t>L1.7</t>
  </si>
  <si>
    <t>Welcome vouchers (amortised)</t>
  </si>
  <si>
    <t>Acquisition</t>
  </si>
  <si>
    <t>5-yr amortisation</t>
  </si>
  <si>
    <t>L1.8</t>
  </si>
  <si>
    <t>Renewal vouchers @ Rs.20L</t>
  </si>
  <si>
    <t>Retention</t>
  </si>
  <si>
    <t>55% attainment</t>
  </si>
  <si>
    <t>L1.9</t>
  </si>
  <si>
    <t>Rewards program (1pt/Rs.50)</t>
  </si>
  <si>
    <t>Earn</t>
  </si>
  <si>
    <t>COSTED IN TAB 2 (MR line) — zero here to avoid double-count</t>
  </si>
  <si>
    <t>L1.10</t>
  </si>
  <si>
    <t>Charge card basics</t>
  </si>
  <si>
    <t>Protection</t>
  </si>
  <si>
    <t>No spend cap, zero forex, insurance, transfers, 24/7 concierge</t>
  </si>
  <si>
    <t>L1.11</t>
  </si>
  <si>
    <t>Digital-First Concierge</t>
  </si>
  <si>
    <t>Service</t>
  </si>
  <si>
    <t>Moved from L2.4 — channel upgrade to an existing L1 concierge, not a new benefit</t>
  </si>
  <si>
    <t>LAYER 1 SUBTOTAL (retained)</t>
  </si>
  <si>
    <t>LAYER 2 — ALWAYS-ON  ·  100% of card base  ·  COUNTS vs ceiling</t>
  </si>
  <si>
    <t>L2.1</t>
  </si>
  <si>
    <t>Value Ledger</t>
  </si>
  <si>
    <t>NEW</t>
  </si>
  <si>
    <t>Engagement</t>
  </si>
  <si>
    <t>Y</t>
  </si>
  <si>
    <t>Infra, auto-on, 100% util by design</t>
  </si>
  <si>
    <t>L2.2</t>
  </si>
  <si>
    <t>Progressive Milestone Ladder</t>
  </si>
  <si>
    <t>Calendar-yr spend only (no rolling 12m) | 90-day voucher expiry | partner-brand redemption only. Util = 55% attain x 90% redeem</t>
  </si>
  <si>
    <t>L2.3</t>
  </si>
  <si>
    <t>Big-Ticket Digital Advantage</t>
  </si>
  <si>
    <t>Digital</t>
  </si>
  <si>
    <t>Max 2 PPC claims/yr | Rs.2L cap per claim | app-registered pre-checkout</t>
  </si>
  <si>
    <t>LAYER 2 SUBTOTAL (always-on)</t>
  </si>
  <si>
    <t>LAYER 3 — CHOICE MODULES  ·  4 active / 2 reserve  ·  COUNTS vs ceiling  ·  flip Status to re-run the swap</t>
  </si>
  <si>
    <t>M1</t>
  </si>
  <si>
    <t>Premium Ground Mobility</t>
  </si>
  <si>
    <t>RESERVE</t>
  </si>
  <si>
    <t>RESERVE — Uber Black, activates on swap</t>
  </si>
  <si>
    <t>M2</t>
  </si>
  <si>
    <t>Culinary Access</t>
  </si>
  <si>
    <t>ACTIVE</t>
  </si>
  <si>
    <t>Held tables + Rs.800/mo credit; restaurant co-fund 35% | Slot share 0.5 applied — member activates 2 of 4 Layer-3 modules</t>
  </si>
  <si>
    <t>M3</t>
  </si>
  <si>
    <t>Luxury Digital Retail</t>
  </si>
  <si>
    <t>Rs.1,000/mo budget; marketplace co-fund 40% | Slot share 0.5 applied — member activates 2 of 4 Layer-3 modules</t>
  </si>
  <si>
    <t>M4</t>
  </si>
  <si>
    <t>Preventive Health</t>
  </si>
  <si>
    <t>Wellness</t>
  </si>
  <si>
    <t>2 panels + 10 teleconsults, hard-bounded; lab co-fund 30% | Slot share 0.5 applied — member activates 2 of 4 Layer-3 modules</t>
  </si>
  <si>
    <t>M5</t>
  </si>
  <si>
    <t>Culture &amp; Events</t>
  </si>
  <si>
    <t>RESERVE — Culture &amp; Events, activates on swap</t>
  </si>
  <si>
    <t>M6</t>
  </si>
  <si>
    <t>Premium Household Services</t>
  </si>
  <si>
    <t>Rs.800/mo single provider; co-fund 35% | Slot share 0.5 applied — member activates 2 of 4 Layer-3 modules</t>
  </si>
  <si>
    <t>LAYER 3 SUBTOTAL (active only)</t>
  </si>
  <si>
    <t>Reserve pool (M1 + M5) — funded from headroom on swap</t>
  </si>
  <si>
    <t>Cost only if a member swaps into them; the swap-out releases the module it replaces</t>
  </si>
  <si>
    <t>ROLLUP — INCREMENTAL BENEFIT COST vs THE Rs.20,000 CEILING</t>
  </si>
  <si>
    <t>Item</t>
  </si>
  <si>
    <t>Face value Rs.</t>
  </si>
  <si>
    <t>Issuer net cost Rs.</t>
  </si>
  <si>
    <t>Layer 2 (always-on)</t>
  </si>
  <si>
    <t>Layer 3 (4 modules active)</t>
  </si>
  <si>
    <t>TOTAL NEW BENEFIT (counts vs ceiling)</t>
  </si>
  <si>
    <t>Ceiling (PS S4 constraint 2)</t>
  </si>
  <si>
    <t>HEADROOM</t>
  </si>
  <si>
    <t>Leverage (face / cost)</t>
  </si>
  <si>
    <t>Layer 1 retained cost (memo — reconciles to Tab 2 Layer 1 line)</t>
  </si>
  <si>
    <t>SEGMENT-LEVEL EXPOSURE — utilisation scales with spend tier; utilisation capped at 100%</t>
  </si>
  <si>
    <t>Benefit (counting rows only)</t>
  </si>
  <si>
    <t>Unit x (1-cofund)</t>
  </si>
  <si>
    <t>Underused Rs.8L</t>
  </si>
  <si>
    <t>Core Rs.13L</t>
  </si>
  <si>
    <t>Milestone Rs.19L</t>
  </si>
  <si>
    <t>High Rs.28L</t>
  </si>
  <si>
    <t>Whale Rs.45L</t>
  </si>
  <si>
    <t>Utilisation index</t>
  </si>
  <si>
    <t>weighted avg = 1.00</t>
  </si>
  <si>
    <t>TOTAL NEW COST per card</t>
  </si>
  <si>
    <t>% of Rs.20K ceiling</t>
  </si>
  <si>
    <t>Within ceiling?</t>
  </si>
  <si>
    <t>Weighted blend of segments (reconciliation)</t>
  </si>
  <si>
    <t>Total new cost &lt;= Rs.20,000 ceiling</t>
  </si>
  <si>
    <t>Headroom &gt;= Rs.0</t>
  </si>
  <si>
    <t>Leverage &gt;= 3.0x</t>
  </si>
  <si>
    <t>Worst-case segment &lt;= ceiling</t>
  </si>
  <si>
    <t>Segment blend within 5% of headline</t>
  </si>
  <si>
    <t>Layer 1 subtotal ties to Tab 2 (Rs.38,900)</t>
  </si>
  <si>
    <t>Active module count = 4</t>
  </si>
  <si>
    <t>REALLOCATION REGISTER — Layer 1 Redesign</t>
  </si>
  <si>
    <t>Benefit Name</t>
  </si>
  <si>
    <t>Current Cost</t>
  </si>
  <si>
    <t>Action</t>
  </si>
  <si>
    <t>Cost Freed</t>
  </si>
  <si>
    <t>PS Constraint 4?</t>
  </si>
  <si>
    <t>Reason</t>
  </si>
  <si>
    <t>Unlimited lounge</t>
  </si>
  <si>
    <t>KEEP</t>
  </si>
  <si>
    <t>✓ YES</t>
  </si>
  <si>
    <t>PS Constraint 4: travel benefits must continue</t>
  </si>
  <si>
    <t>RESIZE 50%</t>
  </si>
  <si>
    <t>Oversized for affluent; 75% util but low booking; gate at ₹7.4K</t>
  </si>
  <si>
    <t>RETIRE</t>
  </si>
  <si>
    <t>Not a travel benefit; &lt;2% utilization; frees budget</t>
  </si>
  <si>
    <t>Dining perks</t>
  </si>
  <si>
    <t>Superseded by M2 Culinary in L3, but keep L1 version</t>
  </si>
  <si>
    <t>Welcome vouchers</t>
  </si>
  <si>
    <t>Acquisition lever; optional resize to 50% (₹6K) if needed</t>
  </si>
  <si>
    <t>Renewal vouchers</t>
  </si>
  <si>
    <t>SUPERSEDE</t>
  </si>
  <si>
    <t>Replaced by L2.2 Milestone Ladder (no cliff, smoother engagement)</t>
  </si>
  <si>
    <t>Essential; counts toward Layer 1</t>
  </si>
  <si>
    <t>TOTAL RECLAIMED</t>
  </si>
  <si>
    <t>Layer 1 total (before reallocation)</t>
  </si>
  <si>
    <t>Layer 1 total (after reallocation)</t>
  </si>
  <si>
    <t>VALIDATION: PS Constraint 4 — Travel benefits retained?</t>
  </si>
  <si>
    <t>PLATINUM 365 — BEHAVIOURAL SCENARIOS</t>
  </si>
  <si>
    <t>SELECTED column follows the Tab 1 scenario dropdown</t>
  </si>
  <si>
    <t>SCENARIO-INDEPENDENT INPUTS</t>
  </si>
  <si>
    <t>BLOCK A — LEVER ASSUMPTIONS</t>
  </si>
  <si>
    <t>Pre-redesign fee (baseline)</t>
  </si>
  <si>
    <t>Lever</t>
  </si>
  <si>
    <t>Conservative</t>
  </si>
  <si>
    <t>Bull</t>
  </si>
  <si>
    <t>SELECTED</t>
  </si>
  <si>
    <t>Evidence</t>
  </si>
  <si>
    <t>Milestone attainment baseline</t>
  </si>
  <si>
    <t>Spend uplift vs baseline</t>
  </si>
  <si>
    <t>S1</t>
  </si>
  <si>
    <t>US Platinum Sept-2025 reprice: +12-18% Y1 spend</t>
  </si>
  <si>
    <t>Module utilisation baseline</t>
  </si>
  <si>
    <t>S2</t>
  </si>
  <si>
    <t>Ladder vs 55% cliff baseline</t>
  </si>
  <si>
    <t>Ladder unit cost</t>
  </si>
  <si>
    <t>Active module utilisation</t>
  </si>
  <si>
    <t>S3</t>
  </si>
  <si>
    <t>M2/M3/M4/M6 adoption curves</t>
  </si>
  <si>
    <t>Ladder redemption</t>
  </si>
  <si>
    <t>Digital engagement (app MAU)</t>
  </si>
  <si>
    <t>S4</t>
  </si>
  <si>
    <t>MEMO — drives S3/S5, not costed directly</t>
  </si>
  <si>
    <t>Layer 1 spend reclaimed</t>
  </si>
  <si>
    <t>Attrition rate</t>
  </si>
  <si>
    <t>S5</t>
  </si>
  <si>
    <t>Baseline 14%; engagement lifts retention</t>
  </si>
  <si>
    <t>Fee acceptance formula constant</t>
  </si>
  <si>
    <t>Acquisition uplift Y1</t>
  </si>
  <si>
    <t>S6</t>
  </si>
  <si>
    <t>Feeds Tab 5 card base only</t>
  </si>
  <si>
    <t>Fee acceptance sensitivity</t>
  </si>
  <si>
    <t>Fee acceptance (no downgrade)</t>
  </si>
  <si>
    <t>S7</t>
  </si>
  <si>
    <t>Derived from formula: MAX(0.75, 0.975 - 0.35 * Δfee / fee_baseline)</t>
  </si>
  <si>
    <t>BLOCK B — PER-CARD CONTRIBUTION BRIDGE (derived from Tab 2 rates)</t>
  </si>
  <si>
    <t>Baseline contribution (Tab 2, at current fee)</t>
  </si>
  <si>
    <t>T2 I39</t>
  </si>
  <si>
    <t>Tab 2 books the fee at fee_annual</t>
  </si>
  <si>
    <t xml:space="preserve">   less: restate fee to pre-redesign baseline</t>
  </si>
  <si>
    <t>Removes the repricing so it can be shown as a redesign gain</t>
  </si>
  <si>
    <t>PRE-REDESIGN CONTRIBUTION (like-for-like)</t>
  </si>
  <si>
    <t xml:space="preserve">   + Fee repricing gain</t>
  </si>
  <si>
    <t>Only real if acceptance holds — see S7 drag in Tab 5</t>
  </si>
  <si>
    <t xml:space="preserve">   + Δ Discount revenue</t>
  </si>
  <si>
    <t xml:space="preserve">   + Δ EMI net interest income</t>
  </si>
  <si>
    <t xml:space="preserve">   − Δ MR rewards cost</t>
  </si>
  <si>
    <t>D1/B4</t>
  </si>
  <si>
    <t xml:space="preserve">   − Δ Business development</t>
  </si>
  <si>
    <t xml:space="preserve">   − Δ Fraud</t>
  </si>
  <si>
    <t xml:space="preserve">   − Δ Credit loss + cost of funds</t>
  </si>
  <si>
    <t>D9/D12</t>
  </si>
  <si>
    <t xml:space="preserve">   − Layer 2 cost (Ladder ₹2.97K + Value Ledger ₹1.2K)</t>
  </si>
  <si>
    <t>Tab 3</t>
  </si>
  <si>
    <t xml:space="preserve">     Of which: replaces L1.8 renewal voucher (net ₹0 cost)</t>
  </si>
  <si>
    <t>Tab 3B</t>
  </si>
  <si>
    <t xml:space="preserve">     Net new Layer 2 cost vs ceiling</t>
  </si>
  <si>
    <t xml:space="preserve">   − Layer 3 cost (4 lifestyle modules, pure new)</t>
  </si>
  <si>
    <t xml:space="preserve">   + Layer 1 spend reclaimed</t>
  </si>
  <si>
    <t>Retire golf, FHR resize, renewal voucher → Ladder</t>
  </si>
  <si>
    <t>Cost ceiling</t>
  </si>
  <si>
    <t xml:space="preserve">   + Retention value of attrition improvement [MEMO ONLY — Tab 5 handles]</t>
  </si>
  <si>
    <t>Avoided churn x (contribution + avoided CAC). Do NOT add to delta.</t>
  </si>
  <si>
    <t>'=post-redesign contribution per card</t>
  </si>
  <si>
    <t>Δ vs pre-redesign (the number Tab 5 discounts)</t>
  </si>
  <si>
    <t>BLOCK C — DIAGNOSTICS</t>
  </si>
  <si>
    <t>Marginal contribution per ₹1 incremental spend</t>
  </si>
  <si>
    <t>If this is under ~0.5%, spend uplift is not the value driver</t>
  </si>
  <si>
    <t>Total new benefit cost at scenario</t>
  </si>
  <si>
    <t>% of ₹20K ceiling</t>
  </si>
  <si>
    <t>Benefit cost funded by fee + reclaim + retention</t>
  </si>
  <si>
    <t>Under 100% means the redesign is per-card dilutive</t>
  </si>
  <si>
    <t>BLOCK D — OUTPUTS TO TAB 5</t>
  </si>
  <si>
    <t>Post-redesign contribution / card</t>
  </si>
  <si>
    <t>Δ contribution vs pre-redesign</t>
  </si>
  <si>
    <t>Pre-redesign contribution / card</t>
  </si>
  <si>
    <t>New benefit cost / card</t>
  </si>
  <si>
    <t>Fee acceptance</t>
  </si>
  <si>
    <t>Spend uplift</t>
  </si>
  <si>
    <t>Bull-case benefit cost still ≤ ₹20K ceiling</t>
  </si>
  <si>
    <t>Conservative benefit cost ≥ Layer 2 floor</t>
  </si>
  <si>
    <t>Scenario ordering: spend uplift Cons&lt;Base&lt;Bull</t>
  </si>
  <si>
    <t>Attrition ordering: Cons&gt;Base&gt;Bull</t>
  </si>
  <si>
    <t>Pre-redesign contribution ties to Tab 2 less repricing</t>
  </si>
  <si>
    <t>Base case is NPV-positive per card (Δ ≥ 0)</t>
  </si>
  <si>
    <t>PS Constraint 4: Travel benefits (lounge + hotel) retained?</t>
  </si>
  <si>
    <t>See Tab 3B Reallocation Register for confirmation</t>
  </si>
  <si>
    <t>PLATINUM 365 — ROI &amp; NPV ANALYSIS</t>
  </si>
  <si>
    <t>Incremental cash flows only. Baseline contribution is earned with or without the redesign and is therefore excluded. Discounted @ WACC from Tab 1.</t>
  </si>
  <si>
    <t>YEAR 0 INVESTMENT &amp; DRIVERS</t>
  </si>
  <si>
    <t>BLOCK A — CARDS IN FORCE (Year 0–5)</t>
  </si>
  <si>
    <t>App build (midpoint 3–5 Cr)</t>
  </si>
  <si>
    <t>Metric</t>
  </si>
  <si>
    <t>Y0</t>
  </si>
  <si>
    <t>Y1</t>
  </si>
  <si>
    <t>Y2</t>
  </si>
  <si>
    <t>Y3</t>
  </si>
  <si>
    <t>Y4</t>
  </si>
  <si>
    <t>Y5</t>
  </si>
  <si>
    <t>Launch marketing (midpoint 1–2 Cr)</t>
  </si>
  <si>
    <t>Opening card base</t>
  </si>
  <si>
    <t>Total Year 0 investment</t>
  </si>
  <si>
    <t>Net new cards (acq − churn − Y1 downgrade)</t>
  </si>
  <si>
    <t>S5/S6/S7</t>
  </si>
  <si>
    <t>Ongoing marketing/yr (0 = already in Tab 2 CAC)</t>
  </si>
  <si>
    <t>Closing card base — WITH redesign</t>
  </si>
  <si>
    <t>Gross acquisition rate (ties Tab 2 new_card_pct)</t>
  </si>
  <si>
    <t>Counterfactual card base — NO redesign</t>
  </si>
  <si>
    <t>A10/D8/A17</t>
  </si>
  <si>
    <t>Incremental cards vs counterfactual</t>
  </si>
  <si>
    <t>BLOCK B — PER-CARD ECONOMICS (live from Tab 4 scenario selector)</t>
  </si>
  <si>
    <t>Pre-redesign contribution / card  [MEMO — not a cash flow]</t>
  </si>
  <si>
    <t>Tab 4 G43</t>
  </si>
  <si>
    <t>Fee repricing gain  [MEMO — already inside the Δ below]</t>
  </si>
  <si>
    <t>Δ contribution / card (Tab 4) — INCLUDES fee gain, benefit cost, retention</t>
  </si>
  <si>
    <t>Tab 4 G42</t>
  </si>
  <si>
    <t>Post-redesign contribution / card (pre + Δ)</t>
  </si>
  <si>
    <t>INCREMENTAL FCF per existing card (= Δ only)</t>
  </si>
  <si>
    <t>BLOCK C — PORTFOLIO CASH FLOWS (Y0–Y5)</t>
  </si>
  <si>
    <t>One-time investment (Y0)</t>
  </si>
  <si>
    <t>Incremental marketing (Y1–Y5)</t>
  </si>
  <si>
    <t>Additional CAC on incremental cards (4/5 of full CAC)</t>
  </si>
  <si>
    <t>Op CF (a): counterfactual base × Δ contribution</t>
  </si>
  <si>
    <t>Op CF (b): incremental cards × post-redesign contribution</t>
  </si>
  <si>
    <t>Operating cash flow (a + b)</t>
  </si>
  <si>
    <t>TOTAL FCF</t>
  </si>
  <si>
    <t>BLOCK D — NPV @ WACC (Tab 1)</t>
  </si>
  <si>
    <t>Discount factor</t>
  </si>
  <si>
    <t>WACC</t>
  </si>
  <si>
    <t>PV of cash flow</t>
  </si>
  <si>
    <t>NPV (Y0–Y5)</t>
  </si>
  <si>
    <t>IRR (Y0–Y5)</t>
  </si>
  <si>
    <t>Cumulative undiscounted FCF</t>
  </si>
  <si>
    <t>Profit multiple (cumulative FCF / Y0 invest)</t>
  </si>
  <si>
    <t>BLOCK E — CUMULATIVE FCF &amp; PAYBACK</t>
  </si>
  <si>
    <t>Cumulative FCF</t>
  </si>
  <si>
    <t>Payback</t>
  </si>
  <si>
    <t>BLOCK F — BREAK-EVEN DIAGNOSTIC (the number to pitch)</t>
  </si>
  <si>
    <t>5-yr annuity factor @ WACC</t>
  </si>
  <si>
    <t>Average counterfactual cards Y1–Y5</t>
  </si>
  <si>
    <t>Δ per card required for NPV = 0</t>
  </si>
  <si>
    <t>Δ per card modelled (Tab 4)</t>
  </si>
  <si>
    <t>GAP TO CLOSE  →  set l1_reclaim (Tab 4 K8) to at least this</t>
  </si>
  <si>
    <t>SUMMARY METRICS FOR DECK</t>
  </si>
  <si>
    <t>Cards Y0 (launch)</t>
  </si>
  <si>
    <t>Cards Y5 (with redesign)</t>
  </si>
  <si>
    <t>Cards Y5 (counterfactual)</t>
  </si>
  <si>
    <t>NPV (5yr, selected scenario)</t>
  </si>
  <si>
    <t>IRR</t>
  </si>
  <si>
    <t>Profit multiple (undiscounted)</t>
  </si>
  <si>
    <t>Pre-redesign contrib / card</t>
  </si>
  <si>
    <t>Post-redesign contrib / card</t>
  </si>
  <si>
    <t>Incremental FCF / card (= Δ)</t>
  </si>
  <si>
    <t>Y0 investment</t>
  </si>
  <si>
    <t>Δ/card needed for NPV = 0</t>
  </si>
  <si>
    <t>Gap to close</t>
  </si>
  <si>
    <t>Incremental FCF = Tab 4 Δ (no baseline, no double fee)</t>
  </si>
  <si>
    <t>Counterfactual base &lt; redesign base by Y5 (redesign helps volume)</t>
  </si>
  <si>
    <t>Pre-redesign contribution ties to Tab 4</t>
  </si>
  <si>
    <t>NPV positive</t>
  </si>
  <si>
    <t>No marketing double-count with Tab 2 CAC</t>
  </si>
  <si>
    <t>PLATINUM 365 — SENSITIVITY ANALYSIS</t>
  </si>
  <si>
    <t>Tornado (1-way), 2-way fee×spend (using real marginal 0.13%), 2-way util×cofund, break-even. All per Tab 5 corrected incremental logic.</t>
  </si>
  <si>
    <t>BLOCK A — TORNADO (NPV sensitivity, sorted by swing)</t>
  </si>
  <si>
    <t>Variable</t>
  </si>
  <si>
    <t>Low</t>
  </si>
  <si>
    <t>Swing</t>
  </si>
  <si>
    <t>Rank</t>
  </si>
  <si>
    <t>NPV @ Low</t>
  </si>
  <si>
    <t>NPV @ High</t>
  </si>
  <si>
    <t>Spend uplift %</t>
  </si>
  <si>
    <t>WACC (discount rate)</t>
  </si>
  <si>
    <t>Module utilisation %</t>
  </si>
  <si>
    <t>Note: sort by column G descending to see ranking</t>
  </si>
  <si>
    <t>BLOCK B — 2-WAY: Fee (rows) × Spend Uplift (cols) → NPV (5yr)</t>
  </si>
  <si>
    <t>Fee (ex-GST)</t>
  </si>
  <si>
    <t>-5%</t>
  </si>
  <si>
    <t>+0%</t>
  </si>
  <si>
    <t>+5%</t>
  </si>
  <si>
    <t>+8%</t>
  </si>
  <si>
    <t>+12%</t>
  </si>
  <si>
    <t>+15%</t>
  </si>
  <si>
    <t>₹50,000</t>
  </si>
  <si>
    <t>fee</t>
  </si>
  <si>
    <t>₹55,000</t>
  </si>
  <si>
    <t>₹60,000</t>
  </si>
  <si>
    <t>₹66,000</t>
  </si>
  <si>
    <t>₹70,000</t>
  </si>
  <si>
    <t>BLOCK C — 2-WAY: Module Util (rows) × Co-fund % (cols) → Benefit Cost/card</t>
  </si>
  <si>
    <t>Module Util %</t>
  </si>
  <si>
    <t>30%</t>
  </si>
  <si>
    <t>35%</t>
  </si>
  <si>
    <t>40%</t>
  </si>
  <si>
    <t>50%</t>
  </si>
  <si>
    <t>45%</t>
  </si>
  <si>
    <t>util</t>
  </si>
  <si>
    <t>60%</t>
  </si>
  <si>
    <t>70%</t>
  </si>
  <si>
    <t>80%</t>
  </si>
  <si>
    <t>BLOCK D — BREAK-EVEN ANALYSIS</t>
  </si>
  <si>
    <t>Minimum spend uplift needed for NPV ≥ 0, by fee level:</t>
  </si>
  <si>
    <t>Fee level</t>
  </si>
  <si>
    <t>Required spend uplift</t>
  </si>
  <si>
    <t>Achievable?</t>
  </si>
  <si>
    <t>Profitable even with revenue decline</t>
  </si>
  <si>
    <t>Break-even on day 1</t>
  </si>
  <si>
    <t>Conservative case still wins</t>
  </si>
  <si>
    <t>Needs material spend lift</t>
  </si>
  <si>
    <t>BLOCK E — RISK &amp; LEVER SUMMARY</t>
  </si>
  <si>
    <t>Type</t>
  </si>
  <si>
    <t>Description</t>
  </si>
  <si>
    <t>Impact</t>
  </si>
  <si>
    <t>Mitigation</t>
  </si>
  <si>
    <t>UPSIDE</t>
  </si>
  <si>
    <t>Attrition &lt;12%</t>
  </si>
  <si>
    <t>Each 1% improvement = +₹3 Cr NPV</t>
  </si>
  <si>
    <t>Target &lt;10%</t>
  </si>
  <si>
    <t>8%</t>
  </si>
  <si>
    <t>Acq uplift &gt;15% Y1</t>
  </si>
  <si>
    <t>Each 1% = +₹0.5 Cr NPV</t>
  </si>
  <si>
    <t>Bull: +35%</t>
  </si>
  <si>
    <t>20–25%</t>
  </si>
  <si>
    <t>DOWNSIDE</t>
  </si>
  <si>
    <t>Fee acceptance &lt;94%</t>
  </si>
  <si>
    <t>Each 1% downgrade = −₹0.3 Cr NPV</t>
  </si>
  <si>
    <t>Risk: price resistance</t>
  </si>
  <si>
    <t>88–92%</t>
  </si>
  <si>
    <t>Spend uplift fails</t>
  </si>
  <si>
    <t>Zero uplift = −₹91 Cr NPV</t>
  </si>
  <si>
    <t>Need L1 reclaim ₹7K</t>
  </si>
  <si>
    <t>−5% to +8%</t>
  </si>
  <si>
    <t>MR cost ₹0.26→₹0.33</t>
  </si>
  <si>
    <t>Reduces NPV ₹0.3 Cr</t>
  </si>
  <si>
    <t>Unlikely</t>
  </si>
  <si>
    <t>0.21–0.33</t>
  </si>
  <si>
    <t>CRITICAL</t>
  </si>
  <si>
    <t>Module util &lt;60%</t>
  </si>
  <si>
    <t>Each 5% miss = −₹0.2 Cr NPV</t>
  </si>
  <si>
    <t>Product adoption key</t>
  </si>
  <si>
    <t>45–75%</t>
  </si>
  <si>
    <t>PLATINUM 365 — EXECUTIVE SUMMARY (DECK FEED)</t>
  </si>
  <si>
    <t>All metrics formula-linked to Tabs 1–6; updates cascade automatically</t>
  </si>
  <si>
    <t>SECTION A: BUSINESS CASE</t>
  </si>
  <si>
    <t>Card base at launch</t>
  </si>
  <si>
    <t>Pre-repricing fee (baseline)</t>
  </si>
  <si>
    <t>Redesigned fee (ex-GST)</t>
  </si>
  <si>
    <t>Annual fee increase per card</t>
  </si>
  <si>
    <t>Annual blended spend per card</t>
  </si>
  <si>
    <t>SECTION B: BENEFIT REDESIGN (₹20K CEILING)</t>
  </si>
  <si>
    <t>Layer 1 (retained) — cost</t>
  </si>
  <si>
    <t>Layer 2 (always-on) — cost</t>
  </si>
  <si>
    <t>Layer 3 (4 active modules) — cost</t>
  </si>
  <si>
    <t>Total new benefit cost</t>
  </si>
  <si>
    <t>Headroom vs ₹20K ceiling</t>
  </si>
  <si>
    <t>Benefit face value (Layer 2+3)</t>
  </si>
  <si>
    <t>Leverage ratio (face / cost)</t>
  </si>
  <si>
    <t>SECTION C: 5-YEAR FINANCIAL MODEL (SELECTED SCENARIO)</t>
  </si>
  <si>
    <t>Year 0 investment</t>
  </si>
  <si>
    <t>Opening card base (Y0, with redesign)</t>
  </si>
  <si>
    <t>Closing card base (Y5, with redesign)</t>
  </si>
  <si>
    <t>Closing card base (Y5, counterfactual)</t>
  </si>
  <si>
    <t>Pre-redesign contribution/card</t>
  </si>
  <si>
    <t>Fee repricing gain (inside Δ)</t>
  </si>
  <si>
    <t>Incremental FCF per card (= Δ)</t>
  </si>
  <si>
    <t>Cumulative undiscounted FCF (Y0–Y5)</t>
  </si>
  <si>
    <t>SECTION D: NPV &amp; RETURNS (5-YEAR HORIZON)</t>
  </si>
  <si>
    <t>NPV @ WACC</t>
  </si>
  <si>
    <t>IRR (Year 0–5)</t>
  </si>
  <si>
    <t>Payback period</t>
  </si>
  <si>
    <t>Δ per card needed for NPV = 0</t>
  </si>
  <si>
    <t>Gap to close (via l1_reclaim)</t>
  </si>
  <si>
    <t>SECTION E: SENSITIVITY &amp; BREAK-EVEN</t>
  </si>
  <si>
    <t>Most sensitive variable</t>
  </si>
  <si>
    <t>Attrition rate is most sensitive (₹21 Cr swing per ±3pp). Fee level drives ~₹380 Cr swing. Spend uplift ranks #3 (₹9.4 Cr swing per ±5pp).</t>
  </si>
  <si>
    <t>Fee × spend break-even</t>
  </si>
  <si>
    <t>₹70K fee is NPV-positive (~₹84–93 Cr) even with spend declining 5%, indicating wide margin of safety.</t>
  </si>
  <si>
    <t>Worst-case scenario</t>
  </si>
  <si>
    <t>Spend −5% + attrition 15% → still NPV+</t>
  </si>
  <si>
    <t>Upside scenario</t>
  </si>
  <si>
    <t>Upside scenario (attrition 8% + spend +12%) → NPV ₹212 Cr. Downside (attrition 10% + spend 0%) → NPV ₹62 Cr.</t>
  </si>
  <si>
    <t>Risk concentration</t>
  </si>
  <si>
    <t>Model is robust to variable misses; attrition is key</t>
  </si>
  <si>
    <t>SECTION F: KEY ASSUMPTIONS (SELECTED SCENARIO)</t>
  </si>
  <si>
    <t>Spend uplift from redesign</t>
  </si>
  <si>
    <t>Cost of capital (WACC)</t>
  </si>
  <si>
    <t>SECTION G: HOW TO USE THIS TAB IN YOUR DECK</t>
  </si>
  <si>
    <t>SLIDE 1: BUSINESS CASE — Copy values from Block A (card base, fees, spend)</t>
  </si>
  <si>
    <t>SLIDE 2: BENEFIT DESIGN — Copy Section B headline (new cost, leverage, headroom)</t>
  </si>
  <si>
    <t>SLIDE 3: 5-YEAR FINANCIALS — Copy Section C (investment, card growth, FCF, cumulative)</t>
  </si>
  <si>
    <t>SLIDE 4: NPV &amp; RETURNS — Copy Section D (NPV, IRR, multiple, payback)</t>
  </si>
  <si>
    <t>SLIDE 5: SENSITIVITY — Copy Section E (spend is key driver, break-even at +3%)</t>
  </si>
  <si>
    <t>SLIDE 6: RISKS — Use Section F assumptions to ground risk discussion</t>
  </si>
  <si>
    <t>SECTION H: ELEVATOR PITCH (ONE-LINE EACH)</t>
  </si>
  <si>
    <t>The Ask</t>
  </si>
  <si>
    <t>₹5.5 Cr investment in app + marketing to redesign Platinum card benefit stack.</t>
  </si>
  <si>
    <t>The Offer</t>
  </si>
  <si>
    <t>Repricing gain is ₹8,000 (from ₹60K), funding ₹13.8K of new engagement benefits while staying below the ₹20K ceiling</t>
  </si>
  <si>
    <t>The Return</t>
  </si>
  <si>
    <t>The Risk</t>
  </si>
  <si>
    <t>Model depends on +8% spend uplift (conservative) and 9% attrition. Attrition &lt;10% is the critical upside lever.</t>
  </si>
  <si>
    <t>The Thesis</t>
  </si>
  <si>
    <t>Charge card 361-day gap: redesign reallocates L1 travel value into daily engagement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</si>
</sst>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\₹#,##0"/>
    <numFmt numFmtId="165" formatCode="0.0%"/>
    <numFmt numFmtId="166" formatCode="\₹#,##0.00"/>
    <numFmt numFmtId="167" formatCode="0.00\×"/>
    <numFmt numFmtId="168" formatCode="0.000%"/>
    <numFmt numFmtId="169" formatCode="0.00\x"/>
    <numFmt numFmtId="170" formatCode="0.000"/>
    <numFmt numFmtId="171" formatCode="\—"/>
    <numFmt numFmtId="172" formatCode="#,##0.0&quot; Cr&quot;"/>
    <numFmt numFmtId="173" formatCode="#,##0,,&quot; Cr&quot;"/>
  </numFmts>
  <fonts count="10" x14ac:knownFonts="1">
    <font>
      <sz val="11"/>
      <color theme="1"/>
      <name val="Calibri"/>
      <family val="2"/>
      <charset val="1"/>
    </font>
    <font>
      <b/>
      <sz val="13"/>
      <color rgb="FF1F3864"/>
      <name val="Calibri"/>
      <charset val="1"/>
    </font>
    <font>
      <sz val="9"/>
      <color rgb="FF808080"/>
      <name val="Calibri"/>
      <charset val="1"/>
    </font>
    <font>
      <b/>
      <sz val="11"/>
      <color rgb="FF1F3864"/>
      <name val="Calibri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sz val="9"/>
      <name val="Calibri"/>
      <charset val="1"/>
    </font>
    <font>
      <sz val="8"/>
      <name val="Calibri"/>
      <charset val="1"/>
    </font>
    <font>
      <sz val="11"/>
      <color rgb="FF000000"/>
      <name val="Calibri"/>
      <charset val="1"/>
    </font>
    <font>
      <sz val="8"/>
      <color rgb="FF80808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EDEDED"/>
      </patternFill>
    </fill>
    <fill>
      <patternFill patternType="solid">
        <fgColor rgb="FFEDEDED"/>
        <bgColor rgb="FFEAF1FB"/>
      </patternFill>
    </fill>
    <fill>
      <patternFill patternType="solid">
        <fgColor rgb="FFEAF1FB"/>
        <b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/>
    <xf numFmtId="0" fontId="0" fillId="2" borderId="0" xfId="0" applyFill="1"/>
    <xf numFmtId="0" fontId="2" fillId="0" borderId="1" xfId="0" applyFont="1" applyBorder="1"/>
    <xf numFmtId="0" fontId="3" fillId="2" borderId="1" xfId="0" applyFont="1" applyFill="1" applyBorder="1"/>
    <xf numFmtId="0" fontId="4" fillId="0" borderId="1" xfId="0" applyFont="1" applyBorder="1"/>
    <xf numFmtId="164" fontId="5" fillId="0" borderId="1" xfId="0" applyNumberFormat="1" applyFont="1" applyBorder="1"/>
    <xf numFmtId="165" fontId="4" fillId="0" borderId="1" xfId="0" applyNumberFormat="1" applyFont="1" applyBorder="1"/>
    <xf numFmtId="164" fontId="4" fillId="0" borderId="1" xfId="0" applyNumberFormat="1" applyFont="1" applyBorder="1"/>
    <xf numFmtId="165" fontId="5" fillId="0" borderId="1" xfId="0" applyNumberFormat="1" applyFont="1" applyBorder="1"/>
    <xf numFmtId="0" fontId="5" fillId="0" borderId="1" xfId="0" applyFont="1" applyBorder="1"/>
    <xf numFmtId="3" fontId="5" fillId="0" borderId="1" xfId="0" applyNumberFormat="1" applyFont="1" applyBorder="1"/>
    <xf numFmtId="10" fontId="4" fillId="0" borderId="1" xfId="0" applyNumberFormat="1" applyFont="1" applyBorder="1"/>
    <xf numFmtId="10" fontId="5" fillId="0" borderId="1" xfId="0" applyNumberFormat="1" applyFont="1" applyBorder="1"/>
    <xf numFmtId="166" fontId="5" fillId="0" borderId="1" xfId="0" applyNumberFormat="1" applyFont="1" applyBorder="1"/>
    <xf numFmtId="167" fontId="5" fillId="0" borderId="1" xfId="0" applyNumberFormat="1" applyFont="1" applyBorder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vertical="top" wrapText="1"/>
    </xf>
    <xf numFmtId="168" fontId="5" fillId="0" borderId="1" xfId="0" applyNumberFormat="1" applyFont="1" applyBorder="1"/>
    <xf numFmtId="1" fontId="5" fillId="0" borderId="1" xfId="0" applyNumberFormat="1" applyFont="1" applyBorder="1"/>
    <xf numFmtId="3" fontId="4" fillId="0" borderId="1" xfId="0" applyNumberFormat="1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 wrapText="1"/>
    </xf>
    <xf numFmtId="0" fontId="8" fillId="3" borderId="1" xfId="0" applyFont="1" applyFill="1" applyBorder="1"/>
    <xf numFmtId="0" fontId="5" fillId="4" borderId="1" xfId="0" applyFont="1" applyFill="1" applyBorder="1"/>
    <xf numFmtId="3" fontId="5" fillId="4" borderId="1" xfId="0" applyNumberFormat="1" applyFont="1" applyFill="1" applyBorder="1"/>
    <xf numFmtId="3" fontId="2" fillId="0" borderId="1" xfId="0" applyNumberFormat="1" applyFont="1" applyBorder="1"/>
    <xf numFmtId="169" fontId="5" fillId="0" borderId="1" xfId="0" applyNumberFormat="1" applyFont="1" applyBorder="1"/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wrapText="1"/>
    </xf>
    <xf numFmtId="170" fontId="5" fillId="0" borderId="1" xfId="0" applyNumberFormat="1" applyFont="1" applyBorder="1"/>
    <xf numFmtId="169" fontId="4" fillId="0" borderId="1" xfId="0" applyNumberFormat="1" applyFont="1" applyBorder="1"/>
    <xf numFmtId="1" fontId="4" fillId="0" borderId="1" xfId="0" applyNumberFormat="1" applyFont="1" applyBorder="1"/>
    <xf numFmtId="0" fontId="3" fillId="2" borderId="1" xfId="0" applyFont="1" applyFill="1" applyBorder="1" applyAlignment="1">
      <alignment vertical="center" wrapText="1"/>
    </xf>
    <xf numFmtId="3" fontId="3" fillId="2" borderId="1" xfId="0" applyNumberFormat="1" applyFont="1" applyFill="1" applyBorder="1"/>
    <xf numFmtId="0" fontId="2" fillId="0" borderId="1" xfId="0" applyFont="1" applyBorder="1" applyAlignment="1">
      <alignment vertical="top" wrapText="1"/>
    </xf>
    <xf numFmtId="0" fontId="9" fillId="0" borderId="1" xfId="0" applyFont="1" applyBorder="1"/>
    <xf numFmtId="168" fontId="4" fillId="0" borderId="1" xfId="0" applyNumberFormat="1" applyFont="1" applyBorder="1"/>
    <xf numFmtId="171" fontId="4" fillId="0" borderId="1" xfId="0" applyNumberFormat="1" applyFont="1" applyBorder="1"/>
    <xf numFmtId="172" fontId="5" fillId="4" borderId="1" xfId="0" applyNumberFormat="1" applyFont="1" applyFill="1" applyBorder="1"/>
    <xf numFmtId="172" fontId="4" fillId="0" borderId="1" xfId="0" applyNumberFormat="1" applyFont="1" applyBorder="1"/>
    <xf numFmtId="173" fontId="4" fillId="0" borderId="1" xfId="0" applyNumberFormat="1" applyFont="1" applyBorder="1"/>
    <xf numFmtId="172" fontId="5" fillId="0" borderId="1" xfId="0" applyNumberFormat="1" applyFont="1" applyBorder="1"/>
    <xf numFmtId="170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AF1F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9"/>
  <sheetViews>
    <sheetView showGridLines="0" topLeftCell="A66" zoomScaleNormal="100" workbookViewId="0">
      <selection activeCell="F17" sqref="F17"/>
    </sheetView>
  </sheetViews>
  <sheetFormatPr defaultColWidth="8.6328125" defaultRowHeight="14.5" x14ac:dyDescent="0.35"/>
  <cols>
    <col min="2" max="2" width="30" customWidth="1"/>
    <col min="3" max="3" width="10" customWidth="1"/>
    <col min="4" max="4" width="26" customWidth="1"/>
    <col min="5" max="5" width="30" customWidth="1"/>
    <col min="6" max="6" width="24" customWidth="1"/>
    <col min="7" max="8" width="10" customWidth="1"/>
    <col min="9" max="9" width="34" customWidth="1"/>
  </cols>
  <sheetData>
    <row r="1" spans="2:9" ht="15.75" customHeight="1" x14ac:dyDescent="0.4">
      <c r="B1" s="1" t="s">
        <v>0</v>
      </c>
      <c r="C1" s="2"/>
      <c r="D1" s="2"/>
      <c r="E1" s="2"/>
      <c r="F1" s="3" t="s">
        <v>1</v>
      </c>
      <c r="G1" s="2"/>
      <c r="H1" s="2"/>
      <c r="I1" s="2"/>
    </row>
    <row r="2" spans="2:9" ht="14.25" customHeight="1" x14ac:dyDescent="0.35">
      <c r="B2" s="4" t="s">
        <v>2</v>
      </c>
      <c r="C2" s="2"/>
      <c r="D2" s="2"/>
      <c r="E2" s="2"/>
      <c r="F2" s="2"/>
    </row>
    <row r="3" spans="2:9" ht="14.25" customHeight="1" x14ac:dyDescent="0.35">
      <c r="B3" s="5" t="s">
        <v>3</v>
      </c>
      <c r="C3" s="3" t="s">
        <v>4</v>
      </c>
      <c r="D3" s="6">
        <v>68000</v>
      </c>
      <c r="E3" s="3" t="s">
        <v>5</v>
      </c>
      <c r="F3" s="5" t="s">
        <v>6</v>
      </c>
    </row>
    <row r="4" spans="2:9" ht="14.25" customHeight="1" x14ac:dyDescent="0.35">
      <c r="B4" s="5" t="s">
        <v>7</v>
      </c>
      <c r="C4" s="3" t="s">
        <v>8</v>
      </c>
      <c r="D4" s="7">
        <v>0.18</v>
      </c>
      <c r="E4" s="3" t="s">
        <v>9</v>
      </c>
      <c r="F4" s="5" t="s">
        <v>10</v>
      </c>
    </row>
    <row r="5" spans="2:9" ht="14.25" customHeight="1" x14ac:dyDescent="0.35">
      <c r="B5" s="5" t="s">
        <v>11</v>
      </c>
      <c r="C5" s="3" t="s">
        <v>12</v>
      </c>
      <c r="D5" s="8">
        <f>D3*(1+D4)</f>
        <v>80240</v>
      </c>
      <c r="E5" s="3" t="s">
        <v>13</v>
      </c>
      <c r="F5" s="5" t="s">
        <v>14</v>
      </c>
    </row>
    <row r="6" spans="2:9" ht="14.25" customHeight="1" x14ac:dyDescent="0.35">
      <c r="B6" s="5" t="s">
        <v>15</v>
      </c>
      <c r="C6" s="3" t="s">
        <v>16</v>
      </c>
      <c r="D6" s="9">
        <v>0.15</v>
      </c>
      <c r="E6" s="9">
        <v>0.1</v>
      </c>
      <c r="F6" s="9">
        <v>0.12</v>
      </c>
      <c r="G6" s="9">
        <v>0.63</v>
      </c>
      <c r="H6" s="9">
        <f>SUM(D6:G6)</f>
        <v>1</v>
      </c>
      <c r="I6" s="10" t="str">
        <f>IF(ABS(H6-1)&lt;0.0001,"✓ sums to 100%","✗ CHECK MIX")</f>
        <v>✓ sums to 100%</v>
      </c>
    </row>
    <row r="7" spans="2:9" ht="14.25" customHeight="1" x14ac:dyDescent="0.35">
      <c r="B7" s="5" t="s">
        <v>17</v>
      </c>
      <c r="C7" s="3" t="s">
        <v>18</v>
      </c>
      <c r="D7" s="10" t="s">
        <v>19</v>
      </c>
      <c r="E7" s="3" t="s">
        <v>5</v>
      </c>
      <c r="F7" s="5" t="s">
        <v>20</v>
      </c>
    </row>
    <row r="8" spans="2:9" ht="14.25" customHeight="1" x14ac:dyDescent="0.35">
      <c r="B8" s="5" t="s">
        <v>21</v>
      </c>
      <c r="C8" s="3" t="s">
        <v>18</v>
      </c>
      <c r="D8" s="9">
        <v>0.06</v>
      </c>
      <c r="E8" s="3" t="s">
        <v>5</v>
      </c>
      <c r="F8" s="5" t="s">
        <v>22</v>
      </c>
    </row>
    <row r="9" spans="2:9" ht="14.25" customHeight="1" x14ac:dyDescent="0.35">
      <c r="B9" s="5" t="s">
        <v>23</v>
      </c>
      <c r="C9" s="3" t="s">
        <v>24</v>
      </c>
      <c r="D9" s="9">
        <v>4.4999999999999998E-2</v>
      </c>
      <c r="E9" s="3" t="s">
        <v>5</v>
      </c>
      <c r="F9" s="5" t="s">
        <v>25</v>
      </c>
    </row>
    <row r="10" spans="2:9" ht="14.25" customHeight="1" x14ac:dyDescent="0.35">
      <c r="B10" s="5" t="s">
        <v>26</v>
      </c>
      <c r="C10" s="3" t="s">
        <v>18</v>
      </c>
      <c r="D10" s="11">
        <v>40000</v>
      </c>
      <c r="E10" s="3" t="s">
        <v>5</v>
      </c>
      <c r="F10" s="5" t="s">
        <v>27</v>
      </c>
    </row>
    <row r="11" spans="2:9" ht="14.25" customHeight="1" x14ac:dyDescent="0.35">
      <c r="B11" s="5" t="s">
        <v>28</v>
      </c>
      <c r="C11" s="3" t="s">
        <v>29</v>
      </c>
      <c r="D11" s="12">
        <v>5.8000000000000003E-2</v>
      </c>
      <c r="E11" s="3" t="s">
        <v>9</v>
      </c>
      <c r="F11" s="5" t="s">
        <v>30</v>
      </c>
    </row>
    <row r="12" spans="2:9" ht="14.25" customHeight="1" x14ac:dyDescent="0.35">
      <c r="B12" s="5" t="s">
        <v>31</v>
      </c>
      <c r="C12" s="3" t="s">
        <v>18</v>
      </c>
      <c r="D12" s="13">
        <v>2.5000000000000001E-2</v>
      </c>
      <c r="E12" s="3" t="s">
        <v>5</v>
      </c>
      <c r="F12" s="5" t="s">
        <v>32</v>
      </c>
    </row>
    <row r="13" spans="2:9" ht="14.25" customHeight="1" x14ac:dyDescent="0.35">
      <c r="B13" s="5" t="s">
        <v>33</v>
      </c>
      <c r="C13" s="3" t="s">
        <v>18</v>
      </c>
      <c r="D13" s="12">
        <f>D11+D12</f>
        <v>8.3000000000000004E-2</v>
      </c>
      <c r="E13" s="3" t="s">
        <v>13</v>
      </c>
      <c r="F13" s="5" t="s">
        <v>34</v>
      </c>
    </row>
    <row r="14" spans="2:9" ht="14.25" customHeight="1" x14ac:dyDescent="0.35">
      <c r="B14" s="5" t="s">
        <v>35</v>
      </c>
      <c r="C14" s="3" t="s">
        <v>36</v>
      </c>
      <c r="D14" s="14">
        <v>0.26</v>
      </c>
      <c r="E14" s="3" t="s">
        <v>5</v>
      </c>
      <c r="F14" s="5" t="s">
        <v>37</v>
      </c>
    </row>
    <row r="15" spans="2:9" ht="14.25" customHeight="1" x14ac:dyDescent="0.35">
      <c r="B15" s="5" t="s">
        <v>38</v>
      </c>
      <c r="C15" s="3" t="s">
        <v>39</v>
      </c>
      <c r="D15" s="15">
        <v>1.9</v>
      </c>
      <c r="E15" s="3" t="s">
        <v>5</v>
      </c>
      <c r="F15" s="5" t="s">
        <v>40</v>
      </c>
    </row>
    <row r="16" spans="2:9" ht="14.25" customHeight="1" x14ac:dyDescent="0.35">
      <c r="B16" s="5" t="s">
        <v>41</v>
      </c>
      <c r="C16" s="3" t="s">
        <v>42</v>
      </c>
      <c r="D16" s="7">
        <v>0.96</v>
      </c>
      <c r="E16" s="3" t="s">
        <v>9</v>
      </c>
      <c r="F16" s="5" t="s">
        <v>43</v>
      </c>
    </row>
    <row r="17" spans="2:9" ht="14.25" customHeight="1" x14ac:dyDescent="0.35">
      <c r="B17" s="5" t="s">
        <v>44</v>
      </c>
      <c r="C17" s="3" t="s">
        <v>18</v>
      </c>
      <c r="D17" s="9">
        <v>0.1</v>
      </c>
      <c r="E17" s="3" t="s">
        <v>5</v>
      </c>
      <c r="F17" s="5" t="s">
        <v>45</v>
      </c>
    </row>
    <row r="18" spans="2:9" ht="14.25" customHeight="1" x14ac:dyDescent="0.35">
      <c r="B18" s="5" t="s">
        <v>46</v>
      </c>
      <c r="C18" s="3" t="s">
        <v>47</v>
      </c>
      <c r="D18" s="8">
        <v>20000</v>
      </c>
      <c r="E18" s="3" t="s">
        <v>9</v>
      </c>
      <c r="F18" s="5" t="s">
        <v>48</v>
      </c>
    </row>
    <row r="19" spans="2:9" ht="14.25" customHeight="1" x14ac:dyDescent="0.35">
      <c r="B19" s="5" t="s">
        <v>49</v>
      </c>
      <c r="C19" s="5" t="s">
        <v>50</v>
      </c>
      <c r="D19" s="5">
        <v>25000</v>
      </c>
      <c r="E19" s="5" t="s">
        <v>5</v>
      </c>
    </row>
    <row r="20" spans="2:9" ht="14.25" customHeight="1" x14ac:dyDescent="0.35">
      <c r="B20" s="10" t="s">
        <v>51</v>
      </c>
      <c r="C20" s="5" t="s">
        <v>52</v>
      </c>
      <c r="D20" s="5">
        <v>10000</v>
      </c>
      <c r="E20" s="5" t="s">
        <v>5</v>
      </c>
    </row>
    <row r="21" spans="2:9" ht="14.25" customHeight="1" x14ac:dyDescent="0.35">
      <c r="B21" s="16" t="s">
        <v>53</v>
      </c>
      <c r="C21" s="16" t="s">
        <v>54</v>
      </c>
      <c r="D21" s="16" t="s">
        <v>55</v>
      </c>
      <c r="E21" s="16" t="s">
        <v>56</v>
      </c>
      <c r="F21" s="16" t="s">
        <v>57</v>
      </c>
      <c r="G21" s="16" t="s">
        <v>58</v>
      </c>
      <c r="H21" s="16" t="s">
        <v>59</v>
      </c>
      <c r="I21" s="16" t="s">
        <v>60</v>
      </c>
    </row>
    <row r="22" spans="2:9" ht="14.25" customHeight="1" x14ac:dyDescent="0.35">
      <c r="B22" s="4" t="s">
        <v>61</v>
      </c>
      <c r="C22" s="2"/>
      <c r="D22" s="2"/>
      <c r="E22" s="2"/>
      <c r="F22" s="2"/>
      <c r="G22" s="2"/>
      <c r="H22" s="2"/>
      <c r="I22" s="2"/>
    </row>
    <row r="23" spans="2:9" ht="32.25" customHeight="1" x14ac:dyDescent="0.35">
      <c r="B23" s="5" t="s">
        <v>4</v>
      </c>
      <c r="C23" s="5" t="s">
        <v>62</v>
      </c>
      <c r="D23" s="5" t="s">
        <v>3</v>
      </c>
      <c r="E23" s="17" t="s">
        <v>63</v>
      </c>
      <c r="F23" s="5" t="s">
        <v>64</v>
      </c>
      <c r="G23" s="5" t="s">
        <v>65</v>
      </c>
      <c r="H23" s="18" t="s">
        <v>66</v>
      </c>
      <c r="I23" s="17" t="s">
        <v>67</v>
      </c>
    </row>
    <row r="24" spans="2:9" ht="21.75" customHeight="1" x14ac:dyDescent="0.35">
      <c r="B24" s="5" t="s">
        <v>8</v>
      </c>
      <c r="C24" s="5" t="s">
        <v>62</v>
      </c>
      <c r="D24" s="5" t="s">
        <v>68</v>
      </c>
      <c r="E24" s="17" t="s">
        <v>69</v>
      </c>
      <c r="F24" s="5" t="s">
        <v>70</v>
      </c>
      <c r="G24" s="5" t="s">
        <v>71</v>
      </c>
      <c r="H24" s="18" t="s">
        <v>66</v>
      </c>
      <c r="I24" s="17" t="s">
        <v>72</v>
      </c>
    </row>
    <row r="25" spans="2:9" ht="42.75" customHeight="1" x14ac:dyDescent="0.35">
      <c r="B25" s="5" t="s">
        <v>12</v>
      </c>
      <c r="C25" s="5" t="s">
        <v>62</v>
      </c>
      <c r="D25" s="5" t="s">
        <v>73</v>
      </c>
      <c r="E25" s="17" t="s">
        <v>74</v>
      </c>
      <c r="F25" s="5" t="s">
        <v>64</v>
      </c>
      <c r="G25" s="5" t="s">
        <v>75</v>
      </c>
      <c r="H25" s="18" t="s">
        <v>76</v>
      </c>
      <c r="I25" s="19"/>
    </row>
    <row r="26" spans="2:9" ht="18" customHeight="1" x14ac:dyDescent="0.35">
      <c r="B26" s="5" t="s">
        <v>77</v>
      </c>
      <c r="C26" s="5" t="s">
        <v>62</v>
      </c>
      <c r="D26" s="5" t="s">
        <v>78</v>
      </c>
      <c r="E26" s="17" t="s">
        <v>79</v>
      </c>
      <c r="F26" s="5" t="s">
        <v>80</v>
      </c>
      <c r="G26" s="5" t="s">
        <v>65</v>
      </c>
      <c r="H26" s="18" t="s">
        <v>66</v>
      </c>
      <c r="I26" s="19"/>
    </row>
    <row r="27" spans="2:9" ht="42.75" customHeight="1" x14ac:dyDescent="0.35">
      <c r="B27" s="5" t="s">
        <v>81</v>
      </c>
      <c r="C27" s="5" t="s">
        <v>62</v>
      </c>
      <c r="D27" s="5" t="s">
        <v>82</v>
      </c>
      <c r="E27" s="17" t="s">
        <v>83</v>
      </c>
      <c r="F27" s="5" t="s">
        <v>84</v>
      </c>
      <c r="G27" s="5" t="s">
        <v>65</v>
      </c>
      <c r="H27" s="18" t="s">
        <v>66</v>
      </c>
      <c r="I27" s="19"/>
    </row>
    <row r="28" spans="2:9" ht="42.75" customHeight="1" x14ac:dyDescent="0.35">
      <c r="B28" s="5" t="s">
        <v>85</v>
      </c>
      <c r="C28" s="5" t="s">
        <v>62</v>
      </c>
      <c r="D28" s="5" t="s">
        <v>86</v>
      </c>
      <c r="E28" s="17" t="s">
        <v>87</v>
      </c>
      <c r="F28" s="5" t="s">
        <v>64</v>
      </c>
      <c r="G28" s="5" t="s">
        <v>65</v>
      </c>
      <c r="H28" s="18" t="s">
        <v>66</v>
      </c>
      <c r="I28" s="19"/>
    </row>
    <row r="29" spans="2:9" ht="18" customHeight="1" x14ac:dyDescent="0.35">
      <c r="B29" s="5" t="s">
        <v>88</v>
      </c>
      <c r="C29" s="5" t="s">
        <v>62</v>
      </c>
      <c r="D29" s="5" t="s">
        <v>89</v>
      </c>
      <c r="E29" s="17" t="s">
        <v>90</v>
      </c>
      <c r="F29" s="5" t="s">
        <v>80</v>
      </c>
      <c r="G29" s="5" t="s">
        <v>65</v>
      </c>
      <c r="H29" s="18" t="s">
        <v>66</v>
      </c>
      <c r="I29" s="17" t="s">
        <v>91</v>
      </c>
    </row>
    <row r="30" spans="2:9" ht="18" customHeight="1" x14ac:dyDescent="0.35">
      <c r="B30" s="5" t="s">
        <v>92</v>
      </c>
      <c r="C30" s="5" t="s">
        <v>62</v>
      </c>
      <c r="D30" s="5" t="s">
        <v>93</v>
      </c>
      <c r="E30" s="17" t="s">
        <v>94</v>
      </c>
      <c r="F30" s="5" t="s">
        <v>80</v>
      </c>
      <c r="G30" s="5" t="s">
        <v>65</v>
      </c>
      <c r="H30" s="18" t="s">
        <v>66</v>
      </c>
      <c r="I30" s="17" t="s">
        <v>91</v>
      </c>
    </row>
    <row r="31" spans="2:9" ht="18" customHeight="1" x14ac:dyDescent="0.35">
      <c r="B31" s="5" t="s">
        <v>95</v>
      </c>
      <c r="C31" s="5" t="s">
        <v>62</v>
      </c>
      <c r="D31" s="5" t="s">
        <v>96</v>
      </c>
      <c r="E31" s="17" t="s">
        <v>97</v>
      </c>
      <c r="F31" s="5" t="s">
        <v>64</v>
      </c>
      <c r="G31" s="5" t="s">
        <v>65</v>
      </c>
      <c r="H31" s="18" t="s">
        <v>66</v>
      </c>
      <c r="I31" s="17" t="s">
        <v>98</v>
      </c>
    </row>
    <row r="32" spans="2:9" ht="18" customHeight="1" x14ac:dyDescent="0.35">
      <c r="B32" s="5" t="s">
        <v>99</v>
      </c>
      <c r="C32" s="5" t="s">
        <v>62</v>
      </c>
      <c r="D32" s="5" t="s">
        <v>100</v>
      </c>
      <c r="E32" s="17" t="s">
        <v>101</v>
      </c>
      <c r="F32" s="5" t="s">
        <v>102</v>
      </c>
      <c r="G32" s="5" t="s">
        <v>65</v>
      </c>
      <c r="H32" s="18" t="s">
        <v>66</v>
      </c>
      <c r="I32" s="19"/>
    </row>
    <row r="33" spans="2:9" ht="21.75" customHeight="1" x14ac:dyDescent="0.35">
      <c r="B33" s="5" t="s">
        <v>103</v>
      </c>
      <c r="C33" s="5" t="s">
        <v>62</v>
      </c>
      <c r="D33" s="5" t="s">
        <v>104</v>
      </c>
      <c r="E33" s="17" t="s">
        <v>105</v>
      </c>
      <c r="F33" s="5" t="s">
        <v>64</v>
      </c>
      <c r="G33" s="5" t="s">
        <v>106</v>
      </c>
      <c r="H33" s="18" t="s">
        <v>66</v>
      </c>
      <c r="I33" s="19"/>
    </row>
    <row r="34" spans="2:9" ht="21.75" customHeight="1" x14ac:dyDescent="0.35">
      <c r="B34" s="5" t="s">
        <v>47</v>
      </c>
      <c r="C34" s="5" t="s">
        <v>62</v>
      </c>
      <c r="D34" s="5" t="s">
        <v>46</v>
      </c>
      <c r="E34" s="17" t="s">
        <v>107</v>
      </c>
      <c r="F34" s="5" t="s">
        <v>64</v>
      </c>
      <c r="G34" s="5" t="s">
        <v>106</v>
      </c>
      <c r="H34" s="18" t="s">
        <v>66</v>
      </c>
      <c r="I34" s="17" t="s">
        <v>108</v>
      </c>
    </row>
    <row r="35" spans="2:9" ht="14.25" customHeight="1" x14ac:dyDescent="0.35">
      <c r="B35" s="4" t="s">
        <v>109</v>
      </c>
      <c r="C35" s="2"/>
      <c r="D35" s="2"/>
      <c r="E35" s="2"/>
      <c r="F35" s="2"/>
      <c r="G35" s="2"/>
      <c r="H35" s="2"/>
      <c r="I35" s="2"/>
    </row>
    <row r="36" spans="2:9" ht="18" customHeight="1" x14ac:dyDescent="0.35">
      <c r="B36" s="5" t="s">
        <v>110</v>
      </c>
      <c r="C36" s="5" t="s">
        <v>111</v>
      </c>
      <c r="D36" s="5" t="s">
        <v>112</v>
      </c>
      <c r="E36" s="17" t="s">
        <v>113</v>
      </c>
      <c r="F36" s="5" t="s">
        <v>64</v>
      </c>
      <c r="G36" s="5" t="s">
        <v>114</v>
      </c>
      <c r="H36" s="18" t="s">
        <v>115</v>
      </c>
      <c r="I36" s="19"/>
    </row>
    <row r="37" spans="2:9" ht="42.75" customHeight="1" x14ac:dyDescent="0.35">
      <c r="B37" s="5" t="s">
        <v>116</v>
      </c>
      <c r="C37" s="5" t="s">
        <v>111</v>
      </c>
      <c r="D37" s="5" t="s">
        <v>117</v>
      </c>
      <c r="E37" s="17" t="s">
        <v>118</v>
      </c>
      <c r="F37" s="5" t="s">
        <v>119</v>
      </c>
      <c r="G37" s="5" t="s">
        <v>120</v>
      </c>
      <c r="H37" s="18" t="s">
        <v>115</v>
      </c>
      <c r="I37" s="19"/>
    </row>
    <row r="38" spans="2:9" ht="18" customHeight="1" x14ac:dyDescent="0.35">
      <c r="B38" s="5" t="s">
        <v>121</v>
      </c>
      <c r="C38" s="5" t="s">
        <v>111</v>
      </c>
      <c r="D38" s="5" t="s">
        <v>122</v>
      </c>
      <c r="E38" s="17" t="s">
        <v>123</v>
      </c>
      <c r="F38" s="5" t="s">
        <v>70</v>
      </c>
      <c r="G38" s="5" t="s">
        <v>124</v>
      </c>
      <c r="H38" s="18" t="s">
        <v>76</v>
      </c>
      <c r="I38" s="19"/>
    </row>
    <row r="39" spans="2:9" ht="18" customHeight="1" x14ac:dyDescent="0.35">
      <c r="B39" s="5" t="s">
        <v>39</v>
      </c>
      <c r="C39" s="5" t="s">
        <v>111</v>
      </c>
      <c r="D39" s="5" t="s">
        <v>125</v>
      </c>
      <c r="E39" s="17" t="s">
        <v>126</v>
      </c>
      <c r="F39" s="5" t="s">
        <v>84</v>
      </c>
      <c r="G39" s="5" t="s">
        <v>127</v>
      </c>
      <c r="H39" s="18" t="s">
        <v>115</v>
      </c>
      <c r="I39" s="19"/>
    </row>
    <row r="40" spans="2:9" ht="21.75" customHeight="1" x14ac:dyDescent="0.35">
      <c r="B40" s="5" t="s">
        <v>16</v>
      </c>
      <c r="C40" s="5" t="s">
        <v>111</v>
      </c>
      <c r="D40" s="5" t="s">
        <v>128</v>
      </c>
      <c r="E40" s="17" t="s">
        <v>129</v>
      </c>
      <c r="F40" s="5" t="s">
        <v>70</v>
      </c>
      <c r="G40" s="5" t="s">
        <v>130</v>
      </c>
      <c r="H40" s="18" t="s">
        <v>115</v>
      </c>
      <c r="I40" s="17" t="s">
        <v>131</v>
      </c>
    </row>
    <row r="41" spans="2:9" ht="14.25" customHeight="1" x14ac:dyDescent="0.35">
      <c r="B41" s="4" t="s">
        <v>132</v>
      </c>
      <c r="C41" s="2"/>
      <c r="D41" s="2"/>
      <c r="E41" s="2"/>
      <c r="F41" s="2"/>
      <c r="G41" s="2"/>
      <c r="H41" s="2"/>
      <c r="I41" s="2"/>
    </row>
    <row r="42" spans="2:9" ht="32.25" customHeight="1" x14ac:dyDescent="0.35">
      <c r="B42" s="5" t="s">
        <v>133</v>
      </c>
      <c r="C42" s="5" t="s">
        <v>134</v>
      </c>
      <c r="D42" s="5" t="s">
        <v>135</v>
      </c>
      <c r="E42" s="17" t="s">
        <v>136</v>
      </c>
      <c r="F42" s="5" t="s">
        <v>70</v>
      </c>
      <c r="G42" s="5" t="s">
        <v>137</v>
      </c>
      <c r="H42" s="18" t="s">
        <v>66</v>
      </c>
      <c r="I42" s="19"/>
    </row>
    <row r="43" spans="2:9" ht="32.25" customHeight="1" x14ac:dyDescent="0.35">
      <c r="B43" s="5" t="s">
        <v>138</v>
      </c>
      <c r="C43" s="5" t="s">
        <v>134</v>
      </c>
      <c r="D43" s="5" t="s">
        <v>139</v>
      </c>
      <c r="E43" s="17" t="s">
        <v>140</v>
      </c>
      <c r="F43" s="5" t="s">
        <v>70</v>
      </c>
      <c r="G43" s="5" t="s">
        <v>137</v>
      </c>
      <c r="H43" s="18" t="s">
        <v>66</v>
      </c>
      <c r="I43" s="19"/>
    </row>
    <row r="44" spans="2:9" ht="21.75" customHeight="1" x14ac:dyDescent="0.35">
      <c r="B44" s="5" t="s">
        <v>141</v>
      </c>
      <c r="C44" s="5" t="s">
        <v>134</v>
      </c>
      <c r="D44" s="5" t="s">
        <v>142</v>
      </c>
      <c r="E44" s="17" t="s">
        <v>143</v>
      </c>
      <c r="F44" s="5" t="s">
        <v>70</v>
      </c>
      <c r="G44" s="5" t="s">
        <v>144</v>
      </c>
      <c r="H44" s="18" t="s">
        <v>115</v>
      </c>
      <c r="I44" s="19"/>
    </row>
    <row r="45" spans="2:9" ht="21.75" customHeight="1" x14ac:dyDescent="0.35">
      <c r="B45" s="5" t="s">
        <v>145</v>
      </c>
      <c r="C45" s="5" t="s">
        <v>134</v>
      </c>
      <c r="D45" s="5" t="s">
        <v>146</v>
      </c>
      <c r="E45" s="17" t="s">
        <v>147</v>
      </c>
      <c r="F45" s="5" t="s">
        <v>70</v>
      </c>
      <c r="G45" s="5" t="s">
        <v>148</v>
      </c>
      <c r="H45" s="18" t="s">
        <v>66</v>
      </c>
      <c r="I45" s="17" t="s">
        <v>149</v>
      </c>
    </row>
    <row r="46" spans="2:9" ht="21.75" customHeight="1" x14ac:dyDescent="0.35">
      <c r="B46" s="5" t="s">
        <v>150</v>
      </c>
      <c r="C46" s="5" t="s">
        <v>134</v>
      </c>
      <c r="D46" s="5" t="s">
        <v>151</v>
      </c>
      <c r="E46" s="17" t="s">
        <v>152</v>
      </c>
      <c r="F46" s="5" t="s">
        <v>153</v>
      </c>
      <c r="G46" s="5" t="s">
        <v>154</v>
      </c>
      <c r="H46" s="18" t="s">
        <v>76</v>
      </c>
      <c r="I46" s="19"/>
    </row>
    <row r="47" spans="2:9" ht="32.25" customHeight="1" x14ac:dyDescent="0.35">
      <c r="B47" s="5" t="s">
        <v>24</v>
      </c>
      <c r="C47" s="5" t="s">
        <v>134</v>
      </c>
      <c r="D47" s="5" t="s">
        <v>155</v>
      </c>
      <c r="E47" s="17" t="s">
        <v>156</v>
      </c>
      <c r="F47" s="5" t="s">
        <v>70</v>
      </c>
      <c r="G47" s="5" t="s">
        <v>157</v>
      </c>
      <c r="H47" s="18" t="s">
        <v>66</v>
      </c>
      <c r="I47" s="17" t="s">
        <v>158</v>
      </c>
    </row>
    <row r="48" spans="2:9" ht="14.25" customHeight="1" x14ac:dyDescent="0.35">
      <c r="B48" s="4" t="s">
        <v>159</v>
      </c>
      <c r="C48" s="2"/>
      <c r="D48" s="2"/>
      <c r="E48" s="2"/>
      <c r="F48" s="2"/>
      <c r="G48" s="2"/>
      <c r="H48" s="2"/>
      <c r="I48" s="2"/>
    </row>
    <row r="49" spans="2:9" ht="21.75" customHeight="1" x14ac:dyDescent="0.35">
      <c r="B49" s="5" t="s">
        <v>36</v>
      </c>
      <c r="C49" s="5" t="s">
        <v>160</v>
      </c>
      <c r="D49" s="5" t="s">
        <v>161</v>
      </c>
      <c r="E49" s="17" t="s">
        <v>162</v>
      </c>
      <c r="F49" s="5" t="s">
        <v>64</v>
      </c>
      <c r="G49" s="5" t="s">
        <v>163</v>
      </c>
      <c r="H49" s="18" t="s">
        <v>76</v>
      </c>
      <c r="I49" s="19"/>
    </row>
    <row r="50" spans="2:9" ht="18" customHeight="1" x14ac:dyDescent="0.35">
      <c r="B50" s="5" t="s">
        <v>164</v>
      </c>
      <c r="C50" s="5" t="s">
        <v>160</v>
      </c>
      <c r="D50" s="5" t="s">
        <v>165</v>
      </c>
      <c r="E50" s="17" t="s">
        <v>166</v>
      </c>
      <c r="F50" s="5" t="s">
        <v>153</v>
      </c>
      <c r="G50" s="5" t="s">
        <v>167</v>
      </c>
      <c r="H50" s="18" t="s">
        <v>66</v>
      </c>
      <c r="I50" s="19"/>
    </row>
    <row r="51" spans="2:9" ht="21.75" customHeight="1" x14ac:dyDescent="0.35">
      <c r="B51" s="5" t="s">
        <v>168</v>
      </c>
      <c r="C51" s="5" t="s">
        <v>160</v>
      </c>
      <c r="D51" s="5" t="s">
        <v>169</v>
      </c>
      <c r="E51" s="17" t="s">
        <v>170</v>
      </c>
      <c r="F51" s="5" t="s">
        <v>171</v>
      </c>
      <c r="G51" s="5" t="s">
        <v>172</v>
      </c>
      <c r="H51" s="18" t="s">
        <v>76</v>
      </c>
      <c r="I51" s="19"/>
    </row>
    <row r="52" spans="2:9" ht="18" customHeight="1" x14ac:dyDescent="0.35">
      <c r="B52" s="5" t="s">
        <v>42</v>
      </c>
      <c r="C52" s="5" t="s">
        <v>160</v>
      </c>
      <c r="D52" s="5" t="s">
        <v>173</v>
      </c>
      <c r="E52" s="17" t="s">
        <v>174</v>
      </c>
      <c r="F52" s="5" t="s">
        <v>70</v>
      </c>
      <c r="G52" s="5" t="s">
        <v>43</v>
      </c>
      <c r="H52" s="18" t="s">
        <v>66</v>
      </c>
      <c r="I52" s="19"/>
    </row>
    <row r="53" spans="2:9" ht="32.25" customHeight="1" x14ac:dyDescent="0.35">
      <c r="B53" s="5" t="s">
        <v>175</v>
      </c>
      <c r="C53" s="5" t="s">
        <v>160</v>
      </c>
      <c r="D53" s="5" t="s">
        <v>176</v>
      </c>
      <c r="E53" s="17" t="s">
        <v>177</v>
      </c>
      <c r="F53" s="5" t="s">
        <v>70</v>
      </c>
      <c r="G53" s="5" t="s">
        <v>178</v>
      </c>
      <c r="H53" s="18" t="s">
        <v>76</v>
      </c>
      <c r="I53" s="17" t="s">
        <v>179</v>
      </c>
    </row>
    <row r="54" spans="2:9" ht="18" customHeight="1" x14ac:dyDescent="0.35">
      <c r="B54" s="5" t="s">
        <v>180</v>
      </c>
      <c r="C54" s="5" t="s">
        <v>160</v>
      </c>
      <c r="D54" s="5" t="s">
        <v>181</v>
      </c>
      <c r="E54" s="17" t="s">
        <v>182</v>
      </c>
      <c r="F54" s="5" t="s">
        <v>70</v>
      </c>
      <c r="G54" s="5" t="s">
        <v>183</v>
      </c>
      <c r="H54" s="18" t="s">
        <v>76</v>
      </c>
      <c r="I54" s="17" t="s">
        <v>184</v>
      </c>
    </row>
    <row r="55" spans="2:9" ht="18" customHeight="1" x14ac:dyDescent="0.35">
      <c r="B55" s="5" t="s">
        <v>185</v>
      </c>
      <c r="C55" s="5" t="s">
        <v>160</v>
      </c>
      <c r="D55" s="5" t="s">
        <v>186</v>
      </c>
      <c r="E55" s="17" t="s">
        <v>187</v>
      </c>
      <c r="F55" s="5" t="s">
        <v>70</v>
      </c>
      <c r="G55" s="5" t="s">
        <v>183</v>
      </c>
      <c r="H55" s="18" t="s">
        <v>76</v>
      </c>
      <c r="I55" s="19"/>
    </row>
    <row r="56" spans="2:9" ht="21.75" customHeight="1" x14ac:dyDescent="0.35">
      <c r="B56" s="5" t="s">
        <v>188</v>
      </c>
      <c r="C56" s="5" t="s">
        <v>160</v>
      </c>
      <c r="D56" s="5" t="s">
        <v>189</v>
      </c>
      <c r="E56" s="17" t="s">
        <v>190</v>
      </c>
      <c r="F56" s="5" t="s">
        <v>64</v>
      </c>
      <c r="G56" s="5" t="s">
        <v>43</v>
      </c>
      <c r="H56" s="18" t="s">
        <v>76</v>
      </c>
      <c r="I56" s="17" t="s">
        <v>191</v>
      </c>
    </row>
    <row r="57" spans="2:9" ht="32.25" customHeight="1" x14ac:dyDescent="0.35">
      <c r="B57" s="5" t="s">
        <v>192</v>
      </c>
      <c r="C57" s="5" t="s">
        <v>160</v>
      </c>
      <c r="D57" s="5" t="s">
        <v>193</v>
      </c>
      <c r="E57" s="17" t="s">
        <v>194</v>
      </c>
      <c r="F57" s="5" t="s">
        <v>70</v>
      </c>
      <c r="G57" s="5" t="s">
        <v>195</v>
      </c>
      <c r="H57" s="18" t="s">
        <v>66</v>
      </c>
      <c r="I57" s="19"/>
    </row>
    <row r="58" spans="2:9" ht="18" customHeight="1" x14ac:dyDescent="0.35">
      <c r="B58" s="5" t="s">
        <v>196</v>
      </c>
      <c r="C58" s="5" t="s">
        <v>160</v>
      </c>
      <c r="D58" s="5" t="s">
        <v>197</v>
      </c>
      <c r="E58" s="17" t="s">
        <v>198</v>
      </c>
      <c r="F58" s="5" t="s">
        <v>70</v>
      </c>
      <c r="G58" s="5" t="s">
        <v>199</v>
      </c>
      <c r="H58" s="18" t="s">
        <v>66</v>
      </c>
      <c r="I58" s="19"/>
    </row>
    <row r="59" spans="2:9" ht="32.25" customHeight="1" x14ac:dyDescent="0.35">
      <c r="B59" s="5" t="s">
        <v>200</v>
      </c>
      <c r="C59" s="5" t="s">
        <v>160</v>
      </c>
      <c r="D59" s="5" t="s">
        <v>201</v>
      </c>
      <c r="E59" s="17" t="s">
        <v>202</v>
      </c>
      <c r="F59" s="5" t="s">
        <v>70</v>
      </c>
      <c r="G59" s="5" t="s">
        <v>203</v>
      </c>
      <c r="H59" s="18" t="s">
        <v>66</v>
      </c>
      <c r="I59" s="17" t="s">
        <v>204</v>
      </c>
    </row>
    <row r="60" spans="2:9" ht="18" customHeight="1" x14ac:dyDescent="0.35">
      <c r="B60" s="5" t="s">
        <v>29</v>
      </c>
      <c r="C60" s="5" t="s">
        <v>160</v>
      </c>
      <c r="D60" s="5" t="s">
        <v>28</v>
      </c>
      <c r="E60" s="17" t="s">
        <v>205</v>
      </c>
      <c r="F60" s="5" t="s">
        <v>70</v>
      </c>
      <c r="G60" s="5" t="s">
        <v>30</v>
      </c>
      <c r="H60" s="18" t="s">
        <v>66</v>
      </c>
      <c r="I60" s="19"/>
    </row>
    <row r="61" spans="2:9" ht="14.25" customHeight="1" x14ac:dyDescent="0.35">
      <c r="B61" s="4" t="s">
        <v>206</v>
      </c>
      <c r="C61" s="2"/>
      <c r="D61" s="2"/>
      <c r="E61" s="2"/>
      <c r="F61" s="2"/>
      <c r="G61" s="2"/>
      <c r="H61" s="2"/>
      <c r="I61" s="2"/>
    </row>
    <row r="62" spans="2:9" ht="21.75" customHeight="1" x14ac:dyDescent="0.35">
      <c r="B62" s="5" t="s">
        <v>207</v>
      </c>
      <c r="C62" s="5" t="s">
        <v>208</v>
      </c>
      <c r="D62" s="5" t="s">
        <v>209</v>
      </c>
      <c r="E62" s="17" t="s">
        <v>210</v>
      </c>
      <c r="F62" s="5" t="s">
        <v>64</v>
      </c>
      <c r="G62" s="5" t="s">
        <v>211</v>
      </c>
      <c r="H62" s="18" t="s">
        <v>66</v>
      </c>
      <c r="I62" s="19"/>
    </row>
    <row r="63" spans="2:9" ht="32.25" customHeight="1" x14ac:dyDescent="0.35">
      <c r="B63" s="5" t="s">
        <v>212</v>
      </c>
      <c r="C63" s="5" t="s">
        <v>208</v>
      </c>
      <c r="D63" s="5" t="s">
        <v>213</v>
      </c>
      <c r="E63" s="17" t="s">
        <v>214</v>
      </c>
      <c r="F63" s="5" t="s">
        <v>215</v>
      </c>
      <c r="G63" s="5" t="s">
        <v>211</v>
      </c>
      <c r="H63" s="18" t="s">
        <v>66</v>
      </c>
      <c r="I63" s="19"/>
    </row>
    <row r="64" spans="2:9" ht="21.75" customHeight="1" x14ac:dyDescent="0.35">
      <c r="B64" s="5" t="s">
        <v>216</v>
      </c>
      <c r="C64" s="5" t="s">
        <v>208</v>
      </c>
      <c r="D64" s="5" t="s">
        <v>217</v>
      </c>
      <c r="E64" s="17" t="s">
        <v>218</v>
      </c>
      <c r="F64" s="5" t="s">
        <v>171</v>
      </c>
      <c r="G64" s="5" t="s">
        <v>219</v>
      </c>
      <c r="H64" s="18" t="s">
        <v>66</v>
      </c>
      <c r="I64" s="17" t="s">
        <v>220</v>
      </c>
    </row>
    <row r="65" spans="2:9" ht="21.75" customHeight="1" x14ac:dyDescent="0.35">
      <c r="B65" s="5" t="s">
        <v>221</v>
      </c>
      <c r="C65" s="5" t="s">
        <v>208</v>
      </c>
      <c r="D65" s="5" t="s">
        <v>222</v>
      </c>
      <c r="E65" s="17" t="s">
        <v>223</v>
      </c>
      <c r="F65" s="5" t="s">
        <v>171</v>
      </c>
      <c r="G65" s="5" t="s">
        <v>224</v>
      </c>
      <c r="H65" s="18" t="s">
        <v>66</v>
      </c>
      <c r="I65" s="19"/>
    </row>
    <row r="66" spans="2:9" ht="21.75" customHeight="1" x14ac:dyDescent="0.35">
      <c r="B66" s="5" t="s">
        <v>225</v>
      </c>
      <c r="C66" s="5" t="s">
        <v>208</v>
      </c>
      <c r="D66" s="5" t="s">
        <v>226</v>
      </c>
      <c r="E66" s="17" t="s">
        <v>227</v>
      </c>
      <c r="F66" s="5" t="s">
        <v>171</v>
      </c>
      <c r="G66" s="5" t="s">
        <v>228</v>
      </c>
      <c r="H66" s="18" t="s">
        <v>76</v>
      </c>
      <c r="I66" s="19"/>
    </row>
    <row r="67" spans="2:9" ht="21.75" customHeight="1" x14ac:dyDescent="0.35">
      <c r="B67" s="5" t="s">
        <v>229</v>
      </c>
      <c r="C67" s="5" t="s">
        <v>208</v>
      </c>
      <c r="D67" s="5" t="s">
        <v>230</v>
      </c>
      <c r="E67" s="17" t="s">
        <v>231</v>
      </c>
      <c r="F67" s="5" t="s">
        <v>171</v>
      </c>
      <c r="G67" s="5" t="s">
        <v>228</v>
      </c>
      <c r="H67" s="18" t="s">
        <v>76</v>
      </c>
      <c r="I67" s="17" t="s">
        <v>232</v>
      </c>
    </row>
    <row r="68" spans="2:9" ht="21.75" customHeight="1" x14ac:dyDescent="0.35">
      <c r="B68" s="5" t="s">
        <v>233</v>
      </c>
      <c r="C68" s="5" t="s">
        <v>208</v>
      </c>
      <c r="D68" s="5" t="s">
        <v>234</v>
      </c>
      <c r="E68" s="17" t="s">
        <v>235</v>
      </c>
      <c r="F68" s="5" t="s">
        <v>70</v>
      </c>
      <c r="G68" s="5" t="s">
        <v>236</v>
      </c>
      <c r="H68" s="18" t="s">
        <v>66</v>
      </c>
      <c r="I68" s="19"/>
    </row>
    <row r="69" spans="2:9" ht="21.75" customHeight="1" x14ac:dyDescent="0.35">
      <c r="B69" s="5" t="s">
        <v>237</v>
      </c>
      <c r="C69" s="5" t="s">
        <v>208</v>
      </c>
      <c r="D69" s="5" t="s">
        <v>238</v>
      </c>
      <c r="E69" s="17" t="s">
        <v>239</v>
      </c>
      <c r="F69" s="5" t="s">
        <v>70</v>
      </c>
      <c r="G69" s="5" t="s">
        <v>240</v>
      </c>
      <c r="H69" s="18" t="s">
        <v>66</v>
      </c>
      <c r="I69" s="17" t="s">
        <v>241</v>
      </c>
    </row>
  </sheetData>
  <dataValidations count="1">
    <dataValidation type="list" sqref="D7" xr:uid="{00000000-0002-0000-0000-000000000000}">
      <formula1>"Conservative,Base,Bull"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46"/>
  <sheetViews>
    <sheetView showGridLines="0" zoomScaleNormal="100" workbookViewId="0"/>
  </sheetViews>
  <sheetFormatPr defaultColWidth="8.6328125" defaultRowHeight="14.5" x14ac:dyDescent="0.35"/>
  <cols>
    <col min="2" max="2" width="34" customWidth="1"/>
    <col min="3" max="3" width="7" customWidth="1"/>
    <col min="4" max="8" width="14" customWidth="1"/>
    <col min="9" max="9" width="15" customWidth="1"/>
    <col min="10" max="10" width="10" customWidth="1"/>
    <col min="12" max="12" width="22" customWidth="1"/>
    <col min="13" max="13" width="12" customWidth="1"/>
  </cols>
  <sheetData>
    <row r="1" spans="2:13" ht="15.75" customHeight="1" x14ac:dyDescent="0.4">
      <c r="B1" s="1" t="s">
        <v>242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2:13" ht="14.25" customHeight="1" x14ac:dyDescent="0.35">
      <c r="L2" s="4" t="s">
        <v>243</v>
      </c>
    </row>
    <row r="3" spans="2:13" ht="14.25" customHeight="1" x14ac:dyDescent="0.35">
      <c r="B3" s="4" t="s">
        <v>244</v>
      </c>
      <c r="C3" s="4" t="s">
        <v>53</v>
      </c>
      <c r="D3" s="4" t="s">
        <v>245</v>
      </c>
      <c r="E3" s="4" t="s">
        <v>246</v>
      </c>
      <c r="F3" s="4" t="s">
        <v>247</v>
      </c>
      <c r="G3" s="4" t="s">
        <v>248</v>
      </c>
      <c r="H3" s="4" t="s">
        <v>249</v>
      </c>
      <c r="I3" s="4" t="s">
        <v>250</v>
      </c>
      <c r="J3" s="4" t="s">
        <v>251</v>
      </c>
      <c r="L3" s="5" t="s">
        <v>252</v>
      </c>
      <c r="M3" s="13">
        <v>2.24E-2</v>
      </c>
    </row>
    <row r="4" spans="2:13" ht="14.25" customHeight="1" x14ac:dyDescent="0.35">
      <c r="B4" s="10" t="s">
        <v>253</v>
      </c>
      <c r="C4" s="3" t="s">
        <v>116</v>
      </c>
      <c r="D4" s="7">
        <v>0.18</v>
      </c>
      <c r="E4" s="7">
        <v>0.27</v>
      </c>
      <c r="F4" s="7">
        <v>0.3</v>
      </c>
      <c r="G4" s="7">
        <v>0.17</v>
      </c>
      <c r="H4" s="7">
        <v>0.08</v>
      </c>
      <c r="I4" s="9">
        <f>SUM(D4:H4)</f>
        <v>1</v>
      </c>
      <c r="L4" s="5" t="s">
        <v>146</v>
      </c>
      <c r="M4" s="13">
        <v>0</v>
      </c>
    </row>
    <row r="5" spans="2:13" ht="14.25" customHeight="1" x14ac:dyDescent="0.35">
      <c r="B5" s="10" t="s">
        <v>254</v>
      </c>
      <c r="C5" s="3" t="s">
        <v>116</v>
      </c>
      <c r="D5" s="6">
        <v>800000</v>
      </c>
      <c r="E5" s="6">
        <v>1300000</v>
      </c>
      <c r="F5" s="6">
        <v>1900000</v>
      </c>
      <c r="G5" s="6">
        <v>2800000</v>
      </c>
      <c r="H5" s="6">
        <v>4500000</v>
      </c>
      <c r="I5" s="6">
        <f>SUMPRODUCT($D$4:$H$4,D5:H5)</f>
        <v>1901000</v>
      </c>
      <c r="L5" s="5" t="s">
        <v>255</v>
      </c>
      <c r="M5" s="13">
        <v>3.8999999999999998E-3</v>
      </c>
    </row>
    <row r="6" spans="2:13" ht="14.25" customHeight="1" x14ac:dyDescent="0.35">
      <c r="B6" s="5" t="s">
        <v>256</v>
      </c>
      <c r="C6" s="3" t="s">
        <v>95</v>
      </c>
      <c r="D6" s="5" t="s">
        <v>257</v>
      </c>
      <c r="E6" s="5" t="s">
        <v>257</v>
      </c>
      <c r="F6" s="5" t="s">
        <v>258</v>
      </c>
      <c r="G6" s="5" t="s">
        <v>258</v>
      </c>
      <c r="H6" s="5" t="s">
        <v>258</v>
      </c>
      <c r="L6" s="5" t="s">
        <v>193</v>
      </c>
      <c r="M6" s="13">
        <v>1.6799999999999999E-2</v>
      </c>
    </row>
    <row r="7" spans="2:13" ht="14.25" customHeight="1" x14ac:dyDescent="0.35">
      <c r="B7" s="5" t="s">
        <v>259</v>
      </c>
      <c r="C7" s="3" t="s">
        <v>18</v>
      </c>
      <c r="D7" s="8">
        <f>D5*float_days/365</f>
        <v>98630.136986301368</v>
      </c>
      <c r="E7" s="8">
        <f>E5*float_days/365</f>
        <v>160273.97260273973</v>
      </c>
      <c r="F7" s="8">
        <f>F5*float_days/365</f>
        <v>234246.57534246575</v>
      </c>
      <c r="G7" s="8">
        <f>G5*float_days/365</f>
        <v>345205.47945205477</v>
      </c>
      <c r="H7" s="8">
        <f>H5*float_days/365</f>
        <v>554794.52054794517</v>
      </c>
      <c r="I7" s="6">
        <f>SUMPRODUCT($D$4:$H$4,D7:H7)</f>
        <v>234369.8630136986</v>
      </c>
      <c r="L7" s="5" t="s">
        <v>260</v>
      </c>
      <c r="M7" s="20">
        <v>5.0000000000000001E-4</v>
      </c>
    </row>
    <row r="8" spans="2:13" ht="14.25" customHeight="1" x14ac:dyDescent="0.35">
      <c r="L8" s="5" t="s">
        <v>261</v>
      </c>
      <c r="M8" s="21">
        <v>45</v>
      </c>
    </row>
    <row r="9" spans="2:13" ht="14.25" customHeight="1" x14ac:dyDescent="0.35">
      <c r="B9" s="4" t="s">
        <v>262</v>
      </c>
      <c r="C9" s="2"/>
      <c r="D9" s="2"/>
      <c r="E9" s="2"/>
      <c r="F9" s="2"/>
      <c r="G9" s="2"/>
      <c r="H9" s="2"/>
      <c r="I9" s="2"/>
      <c r="J9" s="2"/>
      <c r="L9" s="5" t="s">
        <v>263</v>
      </c>
      <c r="M9" s="6">
        <v>43500</v>
      </c>
    </row>
    <row r="10" spans="2:13" ht="14.25" customHeight="1" x14ac:dyDescent="0.35">
      <c r="B10" s="5" t="s">
        <v>264</v>
      </c>
      <c r="C10" s="3" t="s">
        <v>16</v>
      </c>
      <c r="D10" s="8">
        <f>D5*mix_intl</f>
        <v>120000</v>
      </c>
      <c r="E10" s="8">
        <f>E5*mix_intl</f>
        <v>195000</v>
      </c>
      <c r="F10" s="8">
        <f>F5*mix_intl</f>
        <v>285000</v>
      </c>
      <c r="G10" s="8">
        <f>G5*mix_intl</f>
        <v>420000</v>
      </c>
      <c r="H10" s="8">
        <f>H5*mix_intl</f>
        <v>675000</v>
      </c>
      <c r="I10" s="6">
        <f>SUMPRODUCT($D$4:$H$4,D10:H10)</f>
        <v>285150</v>
      </c>
      <c r="J10" s="12">
        <f>I10/$I$5</f>
        <v>0.15</v>
      </c>
      <c r="L10" s="5" t="s">
        <v>265</v>
      </c>
      <c r="M10" s="21">
        <v>5</v>
      </c>
    </row>
    <row r="11" spans="2:13" ht="14.25" customHeight="1" x14ac:dyDescent="0.35">
      <c r="B11" s="5" t="s">
        <v>266</v>
      </c>
      <c r="C11" s="3" t="s">
        <v>16</v>
      </c>
      <c r="D11" s="8">
        <f>D5*mix_travel</f>
        <v>80000</v>
      </c>
      <c r="E11" s="8">
        <f>E5*mix_travel</f>
        <v>130000</v>
      </c>
      <c r="F11" s="8">
        <f>F5*mix_travel</f>
        <v>190000</v>
      </c>
      <c r="G11" s="8">
        <f>G5*mix_travel</f>
        <v>280000</v>
      </c>
      <c r="H11" s="8">
        <f>H5*mix_travel</f>
        <v>450000</v>
      </c>
      <c r="I11" s="6">
        <f>SUMPRODUCT($D$4:$H$4,D11:H11)</f>
        <v>190100</v>
      </c>
      <c r="J11" s="12">
        <f>I11/$I$5</f>
        <v>0.1</v>
      </c>
      <c r="L11" s="5" t="s">
        <v>267</v>
      </c>
      <c r="M11" s="9">
        <v>0.08</v>
      </c>
    </row>
    <row r="12" spans="2:13" ht="14.25" customHeight="1" x14ac:dyDescent="0.35">
      <c r="B12" s="5" t="s">
        <v>268</v>
      </c>
      <c r="C12" s="3" t="s">
        <v>16</v>
      </c>
      <c r="D12" s="8">
        <f>D5*mix_dining</f>
        <v>96000</v>
      </c>
      <c r="E12" s="8">
        <f>E5*mix_dining</f>
        <v>156000</v>
      </c>
      <c r="F12" s="8">
        <f>F5*mix_dining</f>
        <v>228000</v>
      </c>
      <c r="G12" s="8">
        <f>G5*mix_dining</f>
        <v>336000</v>
      </c>
      <c r="H12" s="8">
        <f>H5*mix_dining</f>
        <v>540000</v>
      </c>
      <c r="I12" s="6">
        <f>SUMPRODUCT($D$4:$H$4,D12:H12)</f>
        <v>228120</v>
      </c>
      <c r="J12" s="12">
        <f>I12/$I$5</f>
        <v>0.12</v>
      </c>
      <c r="L12" s="5" t="s">
        <v>269</v>
      </c>
      <c r="M12" s="6">
        <v>38900</v>
      </c>
    </row>
    <row r="13" spans="2:13" ht="14.25" customHeight="1" x14ac:dyDescent="0.35">
      <c r="B13" s="5" t="s">
        <v>270</v>
      </c>
      <c r="C13" s="3" t="s">
        <v>16</v>
      </c>
      <c r="D13" s="8">
        <f>D5*mix_other</f>
        <v>504000</v>
      </c>
      <c r="E13" s="8">
        <f>E5*mix_other</f>
        <v>819000</v>
      </c>
      <c r="F13" s="8">
        <f>F5*mix_other</f>
        <v>1197000</v>
      </c>
      <c r="G13" s="8">
        <f>G5*mix_other</f>
        <v>1764000</v>
      </c>
      <c r="H13" s="8">
        <f>H5*mix_other</f>
        <v>2835000</v>
      </c>
      <c r="I13" s="6">
        <f>SUMPRODUCT($D$4:$H$4,D13:H13)</f>
        <v>1197630</v>
      </c>
      <c r="J13" s="12">
        <f>I13/$I$5</f>
        <v>0.63</v>
      </c>
      <c r="L13" s="5" t="s">
        <v>271</v>
      </c>
      <c r="M13" s="13">
        <v>3.5999999999999999E-3</v>
      </c>
    </row>
    <row r="15" spans="2:13" ht="14.25" customHeight="1" x14ac:dyDescent="0.35">
      <c r="B15" s="4" t="s">
        <v>272</v>
      </c>
      <c r="C15" s="2"/>
      <c r="D15" s="2"/>
      <c r="E15" s="2"/>
      <c r="F15" s="2"/>
      <c r="G15" s="2"/>
      <c r="H15" s="2"/>
      <c r="I15" s="2"/>
      <c r="J15" s="2"/>
    </row>
    <row r="16" spans="2:13" ht="14.25" customHeight="1" x14ac:dyDescent="0.35">
      <c r="B16" s="5" t="s">
        <v>273</v>
      </c>
      <c r="C16" s="3" t="s">
        <v>274</v>
      </c>
      <c r="D16" s="22">
        <f>D5*mr_multiplier/50</f>
        <v>30400</v>
      </c>
      <c r="E16" s="22">
        <f>E5*mr_multiplier/50</f>
        <v>49400</v>
      </c>
      <c r="F16" s="22">
        <f>F5*mr_multiplier/50</f>
        <v>72200</v>
      </c>
      <c r="G16" s="22">
        <f>G5*mr_multiplier/50</f>
        <v>106400</v>
      </c>
      <c r="H16" s="22">
        <f>H5*mr_multiplier/50</f>
        <v>171000</v>
      </c>
      <c r="I16" s="11">
        <f>SUMPRODUCT($D$4:$H$4,D16:H16)</f>
        <v>72238</v>
      </c>
    </row>
    <row r="17" spans="2:10" ht="14.25" customHeight="1" x14ac:dyDescent="0.35">
      <c r="B17" s="5" t="s">
        <v>275</v>
      </c>
      <c r="C17" s="3" t="s">
        <v>88</v>
      </c>
      <c r="D17" s="22">
        <f>bonus_welcome/12</f>
        <v>2083.3333333333335</v>
      </c>
      <c r="E17" s="22">
        <f>bonus_welcome/12</f>
        <v>2083.3333333333335</v>
      </c>
      <c r="F17" s="22">
        <f>bonus_welcome/12</f>
        <v>2083.3333333333335</v>
      </c>
      <c r="G17" s="22">
        <f>bonus_welcome/12</f>
        <v>2083.3333333333335</v>
      </c>
      <c r="H17" s="22">
        <f>bonus_welcome/12</f>
        <v>2083.3333333333335</v>
      </c>
      <c r="I17" s="11">
        <f>SUMPRODUCT($D$4:$H$4,D17:H17)</f>
        <v>2083.3333333333335</v>
      </c>
    </row>
    <row r="18" spans="2:10" ht="14.25" customHeight="1" x14ac:dyDescent="0.35">
      <c r="B18" s="5" t="s">
        <v>276</v>
      </c>
      <c r="C18" s="3" t="s">
        <v>92</v>
      </c>
      <c r="D18" s="22">
        <f>bonus_renewal/12</f>
        <v>833.33333333333337</v>
      </c>
      <c r="E18" s="22">
        <f>bonus_renewal/12</f>
        <v>833.33333333333337</v>
      </c>
      <c r="F18" s="22">
        <f>bonus_renewal/12</f>
        <v>833.33333333333337</v>
      </c>
      <c r="G18" s="22">
        <f>bonus_renewal/12</f>
        <v>833.33333333333337</v>
      </c>
      <c r="H18" s="22">
        <f>bonus_renewal/12</f>
        <v>833.33333333333337</v>
      </c>
      <c r="I18" s="11">
        <f>SUMPRODUCT($D$4:$H$4,D18:H18)</f>
        <v>833.33333333333337</v>
      </c>
    </row>
    <row r="19" spans="2:10" ht="14.25" customHeight="1" x14ac:dyDescent="0.35">
      <c r="B19" s="10" t="s">
        <v>277</v>
      </c>
      <c r="C19" s="3" t="s">
        <v>18</v>
      </c>
      <c r="D19" s="11">
        <f>SUM(D16:D18)</f>
        <v>33316.666666666664</v>
      </c>
      <c r="E19" s="11">
        <f>SUM(E16:E18)</f>
        <v>52316.666666666672</v>
      </c>
      <c r="F19" s="11">
        <f>SUM(F16:F18)</f>
        <v>75116.666666666657</v>
      </c>
      <c r="G19" s="11">
        <f>SUM(G16:G18)</f>
        <v>109316.66666666666</v>
      </c>
      <c r="H19" s="11">
        <f>SUM(H16:H18)</f>
        <v>173916.66666666669</v>
      </c>
      <c r="I19" s="11">
        <f>SUMPRODUCT($D$4:$H$4,D19:H19)</f>
        <v>75154.666666666657</v>
      </c>
    </row>
    <row r="21" spans="2:10" ht="14.25" customHeight="1" x14ac:dyDescent="0.35">
      <c r="B21" s="4" t="s">
        <v>278</v>
      </c>
      <c r="C21" s="2"/>
      <c r="D21" s="2"/>
      <c r="E21" s="2"/>
      <c r="F21" s="2"/>
      <c r="G21" s="2"/>
      <c r="H21" s="2"/>
      <c r="I21" s="2"/>
      <c r="J21" s="2"/>
    </row>
    <row r="22" spans="2:10" ht="14.25" customHeight="1" x14ac:dyDescent="0.35">
      <c r="B22" s="5" t="s">
        <v>3</v>
      </c>
      <c r="C22" s="3" t="s">
        <v>4</v>
      </c>
      <c r="D22" s="8">
        <f>fee_annual</f>
        <v>68000</v>
      </c>
      <c r="E22" s="8">
        <f>fee_annual</f>
        <v>68000</v>
      </c>
      <c r="F22" s="8">
        <f>fee_annual</f>
        <v>68000</v>
      </c>
      <c r="G22" s="8">
        <f>fee_annual</f>
        <v>68000</v>
      </c>
      <c r="H22" s="8">
        <f>fee_annual</f>
        <v>68000</v>
      </c>
      <c r="I22" s="6">
        <f>SUMPRODUCT($D$4:$H$4,D22:H22)</f>
        <v>68000</v>
      </c>
    </row>
    <row r="23" spans="2:10" ht="14.25" customHeight="1" x14ac:dyDescent="0.35">
      <c r="B23" s="5" t="s">
        <v>279</v>
      </c>
      <c r="C23" s="3" t="s">
        <v>133</v>
      </c>
      <c r="D23" s="8">
        <f>D5*disc_rate</f>
        <v>17920</v>
      </c>
      <c r="E23" s="8">
        <f>E5*disc_rate</f>
        <v>29120</v>
      </c>
      <c r="F23" s="8">
        <f>F5*disc_rate</f>
        <v>42560</v>
      </c>
      <c r="G23" s="8">
        <f>G5*disc_rate</f>
        <v>62720</v>
      </c>
      <c r="H23" s="8">
        <f>H5*disc_rate</f>
        <v>100800</v>
      </c>
      <c r="I23" s="6">
        <f>SUMPRODUCT($D$4:$H$4,D23:H23)</f>
        <v>42582.400000000001</v>
      </c>
      <c r="J23" s="12">
        <f>I23/$I$5</f>
        <v>2.24E-2</v>
      </c>
    </row>
    <row r="24" spans="2:10" ht="14.25" customHeight="1" x14ac:dyDescent="0.35">
      <c r="B24" s="5" t="s">
        <v>280</v>
      </c>
      <c r="C24" s="3" t="s">
        <v>145</v>
      </c>
      <c r="D24" s="8">
        <f>D5*mix_intl*fx_markup</f>
        <v>0</v>
      </c>
      <c r="E24" s="8">
        <f>E5*mix_intl*fx_markup</f>
        <v>0</v>
      </c>
      <c r="F24" s="8">
        <f>F5*mix_intl*fx_markup</f>
        <v>0</v>
      </c>
      <c r="G24" s="8">
        <f>G5*mix_intl*fx_markup</f>
        <v>0</v>
      </c>
      <c r="H24" s="8">
        <f>H5*mix_intl*fx_markup</f>
        <v>0</v>
      </c>
      <c r="I24" s="6">
        <f>SUMPRODUCT($D$4:$H$4,D24:H24)</f>
        <v>0</v>
      </c>
    </row>
    <row r="25" spans="2:10" ht="14.25" customHeight="1" x14ac:dyDescent="0.35">
      <c r="B25" s="5" t="s">
        <v>281</v>
      </c>
      <c r="C25" s="3" t="s">
        <v>24</v>
      </c>
      <c r="D25" s="8">
        <f>IF(D5&gt;=1900000,D5*emi_penetration*emi_margin_net,0)</f>
        <v>0</v>
      </c>
      <c r="E25" s="8">
        <f>IF(E5&gt;=1900000,E5*emi_penetration*emi_margin_net,0)</f>
        <v>0</v>
      </c>
      <c r="F25" s="8">
        <f>IF(F5&gt;=1900000,F5*emi_penetration*emi_margin_net,0)</f>
        <v>5130</v>
      </c>
      <c r="G25" s="8">
        <f>IF(G5&gt;=1900000,G5*emi_penetration*emi_margin_net,0)</f>
        <v>7560</v>
      </c>
      <c r="H25" s="8">
        <f>IF(H5&gt;=1900000,H5*emi_penetration*emi_margin_net,0)</f>
        <v>12150</v>
      </c>
      <c r="I25" s="6">
        <f>SUMPRODUCT($D$4:$H$4,D25:H25)</f>
        <v>3796.2</v>
      </c>
    </row>
    <row r="26" spans="2:10" ht="14.25" customHeight="1" x14ac:dyDescent="0.35">
      <c r="B26" s="10" t="s">
        <v>282</v>
      </c>
      <c r="C26" s="3" t="s">
        <v>18</v>
      </c>
      <c r="D26" s="6">
        <f>SUM(D22:D25)</f>
        <v>85920</v>
      </c>
      <c r="E26" s="6">
        <f>SUM(E22:E25)</f>
        <v>97120</v>
      </c>
      <c r="F26" s="6">
        <f>SUM(F22:F25)</f>
        <v>115690</v>
      </c>
      <c r="G26" s="6">
        <f>SUM(G22:G25)</f>
        <v>138280</v>
      </c>
      <c r="H26" s="6">
        <f>SUM(H22:H25)</f>
        <v>180950</v>
      </c>
      <c r="I26" s="6">
        <f>SUMPRODUCT($D$4:$H$4,D26:H26)</f>
        <v>114378.6</v>
      </c>
      <c r="J26" s="12">
        <f>I26/$I$5</f>
        <v>6.0167596002104161E-2</v>
      </c>
    </row>
    <row r="28" spans="2:10" ht="14.25" customHeight="1" x14ac:dyDescent="0.35">
      <c r="B28" s="4" t="s">
        <v>283</v>
      </c>
      <c r="C28" s="2"/>
      <c r="D28" s="2"/>
      <c r="E28" s="2"/>
      <c r="F28" s="2"/>
      <c r="G28" s="2"/>
      <c r="H28" s="2"/>
      <c r="I28" s="2"/>
      <c r="J28" s="2"/>
    </row>
    <row r="29" spans="2:10" ht="14.25" customHeight="1" x14ac:dyDescent="0.35">
      <c r="B29" s="5" t="s">
        <v>284</v>
      </c>
      <c r="C29" s="3" t="s">
        <v>285</v>
      </c>
      <c r="D29" s="8">
        <f>D19*mr_cpp*redemption_rate</f>
        <v>8315.8399999999983</v>
      </c>
      <c r="E29" s="8">
        <f>E19*mr_cpp*redemption_rate</f>
        <v>13058.240000000002</v>
      </c>
      <c r="F29" s="8">
        <f>F19*mr_cpp*redemption_rate</f>
        <v>18749.12</v>
      </c>
      <c r="G29" s="8">
        <f>G19*mr_cpp*redemption_rate</f>
        <v>27285.439999999999</v>
      </c>
      <c r="H29" s="8">
        <f>H19*mr_cpp*redemption_rate</f>
        <v>43409.600000000006</v>
      </c>
      <c r="I29" s="6">
        <f t="shared" ref="I29:I36" si="0">SUMPRODUCT($D$4:$H$4,D29:H29)</f>
        <v>18758.604800000001</v>
      </c>
      <c r="J29" s="12">
        <f>I29/$I$5</f>
        <v>9.8677563387690702E-3</v>
      </c>
    </row>
    <row r="30" spans="2:10" ht="14.25" customHeight="1" x14ac:dyDescent="0.35">
      <c r="B30" s="5" t="s">
        <v>286</v>
      </c>
      <c r="C30" s="3" t="s">
        <v>287</v>
      </c>
      <c r="D30" s="8">
        <f>layer1_cost</f>
        <v>38900</v>
      </c>
      <c r="E30" s="8">
        <f>layer1_cost</f>
        <v>38900</v>
      </c>
      <c r="F30" s="8">
        <f>layer1_cost</f>
        <v>38900</v>
      </c>
      <c r="G30" s="8">
        <f>layer1_cost</f>
        <v>38900</v>
      </c>
      <c r="H30" s="8">
        <f>layer1_cost</f>
        <v>38900</v>
      </c>
      <c r="I30" s="6">
        <f t="shared" si="0"/>
        <v>38900</v>
      </c>
      <c r="J30" s="12">
        <f>I30/$I$5</f>
        <v>2.046291425565492E-2</v>
      </c>
    </row>
    <row r="31" spans="2:10" ht="14.25" customHeight="1" x14ac:dyDescent="0.35">
      <c r="B31" s="5" t="s">
        <v>186</v>
      </c>
      <c r="C31" s="3" t="s">
        <v>185</v>
      </c>
      <c r="D31" s="8">
        <f>D5*bizdev_rate</f>
        <v>3120</v>
      </c>
      <c r="E31" s="8">
        <f>E5*bizdev_rate</f>
        <v>5070</v>
      </c>
      <c r="F31" s="8">
        <f>F5*bizdev_rate</f>
        <v>7410</v>
      </c>
      <c r="G31" s="8">
        <f>G5*bizdev_rate</f>
        <v>10920</v>
      </c>
      <c r="H31" s="8">
        <f>H5*bizdev_rate</f>
        <v>17550</v>
      </c>
      <c r="I31" s="6">
        <f t="shared" si="0"/>
        <v>7413.9</v>
      </c>
      <c r="J31" s="12">
        <f>I31/$I$5</f>
        <v>3.8999999999999998E-3</v>
      </c>
    </row>
    <row r="32" spans="2:10" ht="14.25" customHeight="1" x14ac:dyDescent="0.35">
      <c r="B32" s="5" t="s">
        <v>288</v>
      </c>
      <c r="C32" s="3" t="s">
        <v>188</v>
      </c>
      <c r="D32" s="8">
        <f>cac/cac_life*new_card_pct</f>
        <v>696</v>
      </c>
      <c r="E32" s="8">
        <f>cac/cac_life*new_card_pct</f>
        <v>696</v>
      </c>
      <c r="F32" s="8">
        <f>cac/cac_life*new_card_pct</f>
        <v>696</v>
      </c>
      <c r="G32" s="8">
        <f>cac/cac_life*new_card_pct</f>
        <v>696</v>
      </c>
      <c r="H32" s="8">
        <f>cac/cac_life*new_card_pct</f>
        <v>696</v>
      </c>
      <c r="I32" s="6">
        <f t="shared" si="0"/>
        <v>696</v>
      </c>
    </row>
    <row r="33" spans="2:10" ht="14.25" customHeight="1" x14ac:dyDescent="0.35">
      <c r="B33" s="5" t="s">
        <v>289</v>
      </c>
      <c r="C33" s="3" t="s">
        <v>192</v>
      </c>
      <c r="D33" s="8">
        <f>D7*cl_rate</f>
        <v>1656.986301369863</v>
      </c>
      <c r="E33" s="8">
        <f>E7*cl_rate</f>
        <v>2692.6027397260273</v>
      </c>
      <c r="F33" s="8">
        <f>F7*cl_rate</f>
        <v>3935.3424657534242</v>
      </c>
      <c r="G33" s="8">
        <f>G7*cl_rate</f>
        <v>5799.4520547945194</v>
      </c>
      <c r="H33" s="8">
        <f>H7*cl_rate</f>
        <v>9320.5479452054788</v>
      </c>
      <c r="I33" s="6">
        <f t="shared" si="0"/>
        <v>3937.4136986301364</v>
      </c>
      <c r="J33" s="12">
        <f>I33/$I$5</f>
        <v>2.0712328767123283E-3</v>
      </c>
    </row>
    <row r="34" spans="2:10" ht="14.25" customHeight="1" x14ac:dyDescent="0.35">
      <c r="B34" s="5" t="s">
        <v>201</v>
      </c>
      <c r="C34" s="3" t="s">
        <v>200</v>
      </c>
      <c r="D34" s="8">
        <f>D5*fraud_rate</f>
        <v>400</v>
      </c>
      <c r="E34" s="8">
        <f>E5*fraud_rate</f>
        <v>650</v>
      </c>
      <c r="F34" s="8">
        <f>F5*fraud_rate</f>
        <v>950</v>
      </c>
      <c r="G34" s="8">
        <f>G5*fraud_rate</f>
        <v>1400</v>
      </c>
      <c r="H34" s="8">
        <f>H5*fraud_rate</f>
        <v>2250</v>
      </c>
      <c r="I34" s="6">
        <f t="shared" si="0"/>
        <v>950.5</v>
      </c>
    </row>
    <row r="35" spans="2:10" ht="14.25" customHeight="1" x14ac:dyDescent="0.35">
      <c r="B35" s="5" t="s">
        <v>290</v>
      </c>
      <c r="C35" s="3" t="s">
        <v>29</v>
      </c>
      <c r="D35" s="8">
        <f>D7*discount_rate_cof</f>
        <v>5720.5479452054797</v>
      </c>
      <c r="E35" s="8">
        <f>E7*discount_rate_cof</f>
        <v>9295.8904109589039</v>
      </c>
      <c r="F35" s="8">
        <f>F7*discount_rate_cof</f>
        <v>13586.301369863015</v>
      </c>
      <c r="G35" s="8">
        <f>G7*discount_rate_cof</f>
        <v>20021.917808219179</v>
      </c>
      <c r="H35" s="8">
        <f>H7*discount_rate_cof</f>
        <v>32178.082191780821</v>
      </c>
      <c r="I35" s="6">
        <f t="shared" si="0"/>
        <v>13593.452054794521</v>
      </c>
      <c r="J35" s="12">
        <f>I35/$I$5</f>
        <v>7.15068493150685E-3</v>
      </c>
    </row>
    <row r="36" spans="2:10" ht="14.25" customHeight="1" x14ac:dyDescent="0.35">
      <c r="B36" s="10" t="s">
        <v>291</v>
      </c>
      <c r="C36" s="3" t="s">
        <v>18</v>
      </c>
      <c r="D36" s="6">
        <f>SUM(D29:D35)</f>
        <v>58809.374246575338</v>
      </c>
      <c r="E36" s="6">
        <f>SUM(E29:E35)</f>
        <v>70362.73315068493</v>
      </c>
      <c r="F36" s="6">
        <f>SUM(F29:F35)</f>
        <v>84226.763835616424</v>
      </c>
      <c r="G36" s="6">
        <f>SUM(G29:G35)</f>
        <v>105022.8098630137</v>
      </c>
      <c r="H36" s="6">
        <f>SUM(H29:H35)</f>
        <v>144304.2301369863</v>
      </c>
      <c r="I36" s="6">
        <f t="shared" si="0"/>
        <v>84249.870553424669</v>
      </c>
      <c r="J36" s="12">
        <f>I36/$I$5</f>
        <v>4.4318711495752061E-2</v>
      </c>
    </row>
    <row r="38" spans="2:10" ht="14.25" customHeight="1" x14ac:dyDescent="0.35">
      <c r="B38" s="4" t="s">
        <v>292</v>
      </c>
      <c r="C38" s="2"/>
      <c r="D38" s="2"/>
      <c r="E38" s="2"/>
      <c r="F38" s="2"/>
      <c r="G38" s="2"/>
      <c r="H38" s="2"/>
      <c r="I38" s="2"/>
      <c r="J38" s="2"/>
    </row>
    <row r="39" spans="2:10" ht="14.25" customHeight="1" x14ac:dyDescent="0.35">
      <c r="B39" s="10" t="s">
        <v>293</v>
      </c>
      <c r="C39" s="3" t="s">
        <v>18</v>
      </c>
      <c r="D39" s="6">
        <f>D26-D36</f>
        <v>27110.625753424662</v>
      </c>
      <c r="E39" s="6">
        <f>E26-E36</f>
        <v>26757.26684931507</v>
      </c>
      <c r="F39" s="6">
        <f>F26-F36</f>
        <v>31463.236164383576</v>
      </c>
      <c r="G39" s="6">
        <f>G26-G36</f>
        <v>33257.190136986304</v>
      </c>
      <c r="H39" s="6">
        <f>H26-H36</f>
        <v>36645.769863013702</v>
      </c>
      <c r="I39" s="6">
        <f>SUMPRODUCT($D$4:$H$4,D39:H39)</f>
        <v>30128.729446575351</v>
      </c>
    </row>
    <row r="40" spans="2:10" ht="14.25" customHeight="1" x14ac:dyDescent="0.35">
      <c r="B40" s="10" t="s">
        <v>294</v>
      </c>
      <c r="C40" s="3" t="s">
        <v>18</v>
      </c>
      <c r="D40" s="9">
        <f t="shared" ref="D40:I40" si="1">D39/D26</f>
        <v>0.31553335374097602</v>
      </c>
      <c r="E40" s="9">
        <f t="shared" si="1"/>
        <v>0.27550727810250281</v>
      </c>
      <c r="F40" s="9">
        <f t="shared" si="1"/>
        <v>0.27196158842063772</v>
      </c>
      <c r="G40" s="9">
        <f t="shared" si="1"/>
        <v>0.24050614793886538</v>
      </c>
      <c r="H40" s="9">
        <f t="shared" si="1"/>
        <v>0.20251876133193536</v>
      </c>
      <c r="I40" s="9">
        <f t="shared" si="1"/>
        <v>0.26341229431532953</v>
      </c>
    </row>
    <row r="42" spans="2:10" ht="14.25" customHeight="1" x14ac:dyDescent="0.35">
      <c r="B42" s="4" t="s">
        <v>295</v>
      </c>
      <c r="C42" s="2"/>
      <c r="D42" s="2"/>
      <c r="E42" s="2"/>
      <c r="F42" s="2"/>
      <c r="G42" s="2"/>
      <c r="H42" s="2"/>
      <c r="I42" s="2"/>
      <c r="J42" s="2"/>
    </row>
    <row r="43" spans="2:10" ht="14.25" customHeight="1" x14ac:dyDescent="0.35">
      <c r="B43" s="5" t="s">
        <v>296</v>
      </c>
      <c r="C43" s="3" t="s">
        <v>175</v>
      </c>
      <c r="I43" s="13">
        <f>I29/I5</f>
        <v>9.8677563387690702E-3</v>
      </c>
      <c r="J43" s="10" t="str">
        <f>IF(AND(I43&gt;=0.0095,I43&lt;=0.0105),"✓ PASS 0.95–1.05%","✗ FAIL — check B4/D1")</f>
        <v>✓ PASS 0.95–1.05%</v>
      </c>
    </row>
    <row r="44" spans="2:10" ht="14.25" customHeight="1" x14ac:dyDescent="0.35">
      <c r="B44" s="5" t="s">
        <v>297</v>
      </c>
      <c r="I44" s="13">
        <f>I23/I5</f>
        <v>2.24E-2</v>
      </c>
      <c r="J44" s="10" t="str">
        <f>IF(ABS(I44-disc_rate)&lt;0.00001,"✓ PASS","✗ FAIL")</f>
        <v>✓ PASS</v>
      </c>
    </row>
    <row r="45" spans="2:10" ht="14.25" customHeight="1" x14ac:dyDescent="0.35">
      <c r="B45" s="5" t="s">
        <v>298</v>
      </c>
      <c r="I45" s="6">
        <f>I5</f>
        <v>1901000</v>
      </c>
      <c r="J45" s="10" t="str">
        <f>IF(ABS(I45-1900000)&lt;15000,"✓ PASS","✗ FAIL")</f>
        <v>✓ PASS</v>
      </c>
    </row>
    <row r="46" spans="2:10" ht="14.25" customHeight="1" x14ac:dyDescent="0.35">
      <c r="B46" s="5" t="s">
        <v>299</v>
      </c>
      <c r="I46" s="6">
        <f>SUM(I10:I13)</f>
        <v>1901000</v>
      </c>
      <c r="J46" s="10" t="str">
        <f>IF(ABS(I46-I5)&lt;1,"✓ PASS","✗ FAIL")</f>
        <v>✓ PASS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69"/>
  <sheetViews>
    <sheetView showGridLines="0" topLeftCell="A54" zoomScaleNormal="100" workbookViewId="0"/>
  </sheetViews>
  <sheetFormatPr defaultColWidth="8.6328125" defaultRowHeight="14.5" x14ac:dyDescent="0.35"/>
  <cols>
    <col min="2" max="2" width="22" customWidth="1"/>
    <col min="3" max="3" width="30" customWidth="1"/>
    <col min="4" max="4" width="7" customWidth="1"/>
    <col min="5" max="5" width="9" customWidth="1"/>
    <col min="6" max="7" width="12" customWidth="1"/>
    <col min="8" max="8" width="11" customWidth="1"/>
    <col min="9" max="9" width="9" customWidth="1"/>
    <col min="10" max="10" width="10" customWidth="1"/>
    <col min="11" max="11" width="11" customWidth="1"/>
    <col min="12" max="12" width="13" customWidth="1"/>
    <col min="13" max="13" width="11" customWidth="1"/>
    <col min="14" max="14" width="46" customWidth="1"/>
  </cols>
  <sheetData>
    <row r="1" spans="2:14" ht="15.75" customHeight="1" x14ac:dyDescent="0.4">
      <c r="B1" s="1" t="s">
        <v>300</v>
      </c>
      <c r="C1" s="2"/>
      <c r="D1" s="2"/>
      <c r="E1" s="2"/>
      <c r="F1" s="2"/>
      <c r="G1" s="3" t="s">
        <v>301</v>
      </c>
      <c r="H1" s="2"/>
      <c r="I1" s="2"/>
      <c r="J1" s="2"/>
      <c r="K1" s="2"/>
      <c r="L1" s="2"/>
      <c r="M1" s="2"/>
      <c r="N1" s="2"/>
    </row>
    <row r="3" spans="2:14" ht="33" customHeight="1" x14ac:dyDescent="0.35">
      <c r="B3" s="23" t="s">
        <v>53</v>
      </c>
      <c r="C3" s="23" t="s">
        <v>302</v>
      </c>
      <c r="D3" s="23" t="s">
        <v>303</v>
      </c>
      <c r="E3" s="23" t="s">
        <v>304</v>
      </c>
      <c r="F3" s="23" t="s">
        <v>305</v>
      </c>
      <c r="G3" s="23" t="s">
        <v>306</v>
      </c>
      <c r="H3" s="23" t="s">
        <v>307</v>
      </c>
      <c r="I3" s="23" t="s">
        <v>308</v>
      </c>
      <c r="J3" s="23" t="s">
        <v>309</v>
      </c>
      <c r="K3" s="23" t="s">
        <v>310</v>
      </c>
      <c r="L3" s="23" t="s">
        <v>311</v>
      </c>
      <c r="M3" s="23" t="s">
        <v>312</v>
      </c>
      <c r="N3" s="23" t="s">
        <v>313</v>
      </c>
    </row>
    <row r="4" spans="2:14" ht="14.25" customHeight="1" x14ac:dyDescent="0.35">
      <c r="B4" s="4" t="s">
        <v>314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 ht="18" customHeight="1" x14ac:dyDescent="0.35">
      <c r="B5" s="5" t="s">
        <v>315</v>
      </c>
      <c r="C5" s="24" t="s">
        <v>316</v>
      </c>
      <c r="D5" s="25">
        <v>1</v>
      </c>
      <c r="E5" s="25" t="s">
        <v>317</v>
      </c>
      <c r="F5" s="25" t="s">
        <v>318</v>
      </c>
      <c r="G5" s="22">
        <v>8000</v>
      </c>
      <c r="H5" s="11">
        <v>800</v>
      </c>
      <c r="I5" s="7">
        <v>1</v>
      </c>
      <c r="J5" s="7">
        <v>0</v>
      </c>
      <c r="K5" s="22">
        <f t="shared" ref="K5:K15" si="0">H5*I5*(1-J5)</f>
        <v>800</v>
      </c>
      <c r="L5" s="22">
        <f t="shared" ref="L5:L16" si="1">K5</f>
        <v>800</v>
      </c>
      <c r="M5" s="26" t="s">
        <v>319</v>
      </c>
      <c r="N5" s="24" t="s">
        <v>320</v>
      </c>
    </row>
    <row r="6" spans="2:14" ht="18" customHeight="1" x14ac:dyDescent="0.35">
      <c r="B6" s="5" t="s">
        <v>321</v>
      </c>
      <c r="C6" s="24" t="s">
        <v>322</v>
      </c>
      <c r="D6" s="25">
        <v>1</v>
      </c>
      <c r="E6" s="25" t="s">
        <v>317</v>
      </c>
      <c r="F6" s="25" t="s">
        <v>318</v>
      </c>
      <c r="G6" s="22">
        <v>6000</v>
      </c>
      <c r="H6" s="11">
        <v>450</v>
      </c>
      <c r="I6" s="7">
        <v>1</v>
      </c>
      <c r="J6" s="7">
        <v>0</v>
      </c>
      <c r="K6" s="22">
        <f t="shared" si="0"/>
        <v>450</v>
      </c>
      <c r="L6" s="22">
        <f t="shared" si="1"/>
        <v>450</v>
      </c>
      <c r="M6" s="26" t="s">
        <v>319</v>
      </c>
      <c r="N6" s="24" t="s">
        <v>323</v>
      </c>
    </row>
    <row r="7" spans="2:14" ht="18" customHeight="1" x14ac:dyDescent="0.35">
      <c r="B7" s="5" t="s">
        <v>324</v>
      </c>
      <c r="C7" s="24" t="s">
        <v>325</v>
      </c>
      <c r="D7" s="25">
        <v>1</v>
      </c>
      <c r="E7" s="25" t="s">
        <v>317</v>
      </c>
      <c r="F7" s="25" t="s">
        <v>318</v>
      </c>
      <c r="G7" s="22">
        <v>44300</v>
      </c>
      <c r="H7" s="11">
        <v>14800</v>
      </c>
      <c r="I7" s="7">
        <v>1</v>
      </c>
      <c r="J7" s="7">
        <v>0</v>
      </c>
      <c r="K7" s="22">
        <f t="shared" si="0"/>
        <v>14800</v>
      </c>
      <c r="L7" s="22">
        <f t="shared" si="1"/>
        <v>14800</v>
      </c>
      <c r="M7" s="26" t="s">
        <v>319</v>
      </c>
      <c r="N7" s="24" t="s">
        <v>326</v>
      </c>
    </row>
    <row r="8" spans="2:14" ht="18" customHeight="1" x14ac:dyDescent="0.35">
      <c r="B8" s="5" t="s">
        <v>327</v>
      </c>
      <c r="C8" s="24" t="s">
        <v>328</v>
      </c>
      <c r="D8" s="25">
        <v>1</v>
      </c>
      <c r="E8" s="25" t="s">
        <v>317</v>
      </c>
      <c r="F8" s="25" t="s">
        <v>329</v>
      </c>
      <c r="G8" s="22">
        <v>3000</v>
      </c>
      <c r="H8" s="11">
        <v>500</v>
      </c>
      <c r="I8" s="7">
        <v>1</v>
      </c>
      <c r="J8" s="7">
        <v>0</v>
      </c>
      <c r="K8" s="22">
        <f t="shared" si="0"/>
        <v>500</v>
      </c>
      <c r="L8" s="22">
        <f t="shared" si="1"/>
        <v>500</v>
      </c>
      <c r="M8" s="26" t="s">
        <v>319</v>
      </c>
      <c r="N8" s="27"/>
    </row>
    <row r="9" spans="2:14" ht="18" customHeight="1" x14ac:dyDescent="0.35">
      <c r="B9" s="5" t="s">
        <v>330</v>
      </c>
      <c r="C9" s="24" t="s">
        <v>331</v>
      </c>
      <c r="D9" s="25">
        <v>1</v>
      </c>
      <c r="E9" s="25" t="s">
        <v>317</v>
      </c>
      <c r="F9" s="25" t="s">
        <v>329</v>
      </c>
      <c r="G9" s="22">
        <v>2500</v>
      </c>
      <c r="H9" s="11">
        <v>0</v>
      </c>
      <c r="I9" s="7">
        <v>1</v>
      </c>
      <c r="J9" s="7">
        <v>0</v>
      </c>
      <c r="K9" s="22">
        <f t="shared" si="0"/>
        <v>0</v>
      </c>
      <c r="L9" s="22">
        <f t="shared" si="1"/>
        <v>0</v>
      </c>
      <c r="M9" s="26" t="s">
        <v>319</v>
      </c>
      <c r="N9" s="24" t="s">
        <v>332</v>
      </c>
    </row>
    <row r="10" spans="2:14" ht="18" customHeight="1" x14ac:dyDescent="0.35">
      <c r="B10" s="5" t="s">
        <v>333</v>
      </c>
      <c r="C10" s="24" t="s">
        <v>334</v>
      </c>
      <c r="D10" s="25">
        <v>1</v>
      </c>
      <c r="E10" s="25" t="s">
        <v>317</v>
      </c>
      <c r="F10" s="25" t="s">
        <v>335</v>
      </c>
      <c r="G10" s="22">
        <v>3600</v>
      </c>
      <c r="H10" s="11">
        <v>1200</v>
      </c>
      <c r="I10" s="7">
        <v>1</v>
      </c>
      <c r="J10" s="7">
        <v>0</v>
      </c>
      <c r="K10" s="22">
        <f t="shared" si="0"/>
        <v>1200</v>
      </c>
      <c r="L10" s="22">
        <f t="shared" si="1"/>
        <v>1200</v>
      </c>
      <c r="M10" s="26" t="s">
        <v>319</v>
      </c>
      <c r="N10" s="27"/>
    </row>
    <row r="11" spans="2:14" ht="18" customHeight="1" x14ac:dyDescent="0.35">
      <c r="B11" s="5" t="s">
        <v>336</v>
      </c>
      <c r="C11" s="24" t="s">
        <v>337</v>
      </c>
      <c r="D11" s="25">
        <v>1</v>
      </c>
      <c r="E11" s="25" t="s">
        <v>317</v>
      </c>
      <c r="F11" s="25" t="s">
        <v>338</v>
      </c>
      <c r="G11" s="22">
        <v>12000</v>
      </c>
      <c r="H11" s="11">
        <v>12000</v>
      </c>
      <c r="I11" s="7">
        <v>1</v>
      </c>
      <c r="J11" s="7">
        <v>0</v>
      </c>
      <c r="K11" s="22">
        <f t="shared" si="0"/>
        <v>12000</v>
      </c>
      <c r="L11" s="22">
        <f t="shared" si="1"/>
        <v>12000</v>
      </c>
      <c r="M11" s="26" t="s">
        <v>319</v>
      </c>
      <c r="N11" s="24" t="s">
        <v>339</v>
      </c>
    </row>
    <row r="12" spans="2:14" ht="18" customHeight="1" x14ac:dyDescent="0.35">
      <c r="B12" s="5" t="s">
        <v>340</v>
      </c>
      <c r="C12" s="24" t="s">
        <v>341</v>
      </c>
      <c r="D12" s="25">
        <v>1</v>
      </c>
      <c r="E12" s="25" t="s">
        <v>317</v>
      </c>
      <c r="F12" s="25" t="s">
        <v>342</v>
      </c>
      <c r="G12" s="22">
        <v>7000</v>
      </c>
      <c r="H12" s="11">
        <v>3850</v>
      </c>
      <c r="I12" s="7">
        <v>1</v>
      </c>
      <c r="J12" s="7">
        <v>0</v>
      </c>
      <c r="K12" s="22">
        <f t="shared" si="0"/>
        <v>3850</v>
      </c>
      <c r="L12" s="22">
        <f t="shared" si="1"/>
        <v>3850</v>
      </c>
      <c r="M12" s="26" t="s">
        <v>319</v>
      </c>
      <c r="N12" s="24" t="s">
        <v>343</v>
      </c>
    </row>
    <row r="13" spans="2:14" ht="33" customHeight="1" x14ac:dyDescent="0.35">
      <c r="B13" s="5" t="s">
        <v>344</v>
      </c>
      <c r="C13" s="24" t="s">
        <v>345</v>
      </c>
      <c r="D13" s="25">
        <v>1</v>
      </c>
      <c r="E13" s="25" t="s">
        <v>317</v>
      </c>
      <c r="F13" s="25" t="s">
        <v>346</v>
      </c>
      <c r="G13" s="22">
        <v>9880</v>
      </c>
      <c r="H13" s="11">
        <v>0</v>
      </c>
      <c r="I13" s="7">
        <v>1</v>
      </c>
      <c r="J13" s="7">
        <v>0</v>
      </c>
      <c r="K13" s="22">
        <f t="shared" si="0"/>
        <v>0</v>
      </c>
      <c r="L13" s="22">
        <f t="shared" si="1"/>
        <v>0</v>
      </c>
      <c r="M13" s="26" t="s">
        <v>319</v>
      </c>
      <c r="N13" s="24" t="s">
        <v>347</v>
      </c>
    </row>
    <row r="14" spans="2:14" ht="33" customHeight="1" x14ac:dyDescent="0.35">
      <c r="B14" s="5" t="s">
        <v>348</v>
      </c>
      <c r="C14" s="24" t="s">
        <v>349</v>
      </c>
      <c r="D14" s="25">
        <v>1</v>
      </c>
      <c r="E14" s="25" t="s">
        <v>317</v>
      </c>
      <c r="F14" s="25" t="s">
        <v>350</v>
      </c>
      <c r="G14" s="22">
        <v>4200</v>
      </c>
      <c r="H14" s="11">
        <v>4200</v>
      </c>
      <c r="I14" s="9">
        <v>1</v>
      </c>
      <c r="J14" s="9">
        <v>0</v>
      </c>
      <c r="K14" s="22">
        <f t="shared" si="0"/>
        <v>4200</v>
      </c>
      <c r="L14" s="22">
        <f t="shared" si="1"/>
        <v>4200</v>
      </c>
      <c r="M14" s="26" t="s">
        <v>319</v>
      </c>
      <c r="N14" s="24" t="s">
        <v>351</v>
      </c>
    </row>
    <row r="15" spans="2:14" ht="33" customHeight="1" x14ac:dyDescent="0.35">
      <c r="B15" s="5" t="s">
        <v>352</v>
      </c>
      <c r="C15" s="24" t="s">
        <v>353</v>
      </c>
      <c r="D15" s="25">
        <v>1</v>
      </c>
      <c r="E15" s="25" t="s">
        <v>317</v>
      </c>
      <c r="F15" s="25" t="s">
        <v>354</v>
      </c>
      <c r="G15" s="22">
        <v>2200</v>
      </c>
      <c r="H15" s="11">
        <v>1100</v>
      </c>
      <c r="I15" s="9">
        <v>1</v>
      </c>
      <c r="J15" s="9">
        <v>0</v>
      </c>
      <c r="K15" s="22">
        <f t="shared" si="0"/>
        <v>1100</v>
      </c>
      <c r="L15" s="22">
        <f t="shared" si="1"/>
        <v>1100</v>
      </c>
      <c r="M15" s="26" t="s">
        <v>319</v>
      </c>
      <c r="N15" s="24" t="s">
        <v>355</v>
      </c>
    </row>
    <row r="16" spans="2:14" ht="14.25" customHeight="1" x14ac:dyDescent="0.35">
      <c r="B16" s="28"/>
      <c r="C16" s="29" t="s">
        <v>356</v>
      </c>
      <c r="D16" s="28"/>
      <c r="E16" s="28"/>
      <c r="F16" s="28"/>
      <c r="G16" s="30">
        <f>SUM(G5:G15)</f>
        <v>102680</v>
      </c>
      <c r="H16" s="28"/>
      <c r="I16" s="28"/>
      <c r="J16" s="28"/>
      <c r="K16" s="30">
        <f>SUM(K5:K15)</f>
        <v>38900</v>
      </c>
      <c r="L16" s="30">
        <f t="shared" si="1"/>
        <v>38900</v>
      </c>
      <c r="M16" s="28"/>
      <c r="N16" s="28"/>
    </row>
    <row r="18" spans="2:14" ht="14.25" customHeight="1" x14ac:dyDescent="0.35">
      <c r="B18" s="4" t="s">
        <v>357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2:14" ht="18" customHeight="1" x14ac:dyDescent="0.35">
      <c r="B19" s="5" t="s">
        <v>358</v>
      </c>
      <c r="C19" s="24" t="s">
        <v>359</v>
      </c>
      <c r="D19" s="25">
        <v>2</v>
      </c>
      <c r="E19" s="25" t="s">
        <v>360</v>
      </c>
      <c r="F19" s="25" t="s">
        <v>361</v>
      </c>
      <c r="G19" s="11">
        <v>2500</v>
      </c>
      <c r="H19" s="11">
        <v>1200</v>
      </c>
      <c r="I19" s="9">
        <v>1</v>
      </c>
      <c r="J19" s="9">
        <v>0</v>
      </c>
      <c r="K19" s="22">
        <f>H19*I19*(1-J19)</f>
        <v>1200</v>
      </c>
      <c r="L19" s="22">
        <f>H19*I19*(1-J19)</f>
        <v>1200</v>
      </c>
      <c r="M19" s="26" t="s">
        <v>362</v>
      </c>
      <c r="N19" s="24" t="s">
        <v>363</v>
      </c>
    </row>
    <row r="20" spans="2:14" ht="47.25" customHeight="1" x14ac:dyDescent="0.35">
      <c r="B20" s="5" t="s">
        <v>364</v>
      </c>
      <c r="C20" s="24" t="s">
        <v>365</v>
      </c>
      <c r="D20" s="25">
        <v>2</v>
      </c>
      <c r="E20" s="25" t="s">
        <v>360</v>
      </c>
      <c r="F20" s="25" t="s">
        <v>361</v>
      </c>
      <c r="G20" s="11">
        <v>8000</v>
      </c>
      <c r="H20" s="11">
        <v>6000</v>
      </c>
      <c r="I20" s="9">
        <v>0.495</v>
      </c>
      <c r="J20" s="9">
        <v>0</v>
      </c>
      <c r="K20" s="22">
        <f>H20*I20*(1-J20)</f>
        <v>2970</v>
      </c>
      <c r="L20" s="22">
        <f>H20*I20*(1-J20)</f>
        <v>2970</v>
      </c>
      <c r="M20" s="26" t="s">
        <v>362</v>
      </c>
      <c r="N20" s="24" t="s">
        <v>366</v>
      </c>
    </row>
    <row r="21" spans="2:14" ht="33" customHeight="1" x14ac:dyDescent="0.35">
      <c r="B21" s="5" t="s">
        <v>367</v>
      </c>
      <c r="C21" s="24" t="s">
        <v>368</v>
      </c>
      <c r="D21" s="25">
        <v>2</v>
      </c>
      <c r="E21" s="25" t="s">
        <v>360</v>
      </c>
      <c r="F21" s="25" t="s">
        <v>369</v>
      </c>
      <c r="G21" s="11">
        <v>3500</v>
      </c>
      <c r="H21" s="11">
        <v>1600</v>
      </c>
      <c r="I21" s="9">
        <v>0.45</v>
      </c>
      <c r="J21" s="9">
        <v>0.5</v>
      </c>
      <c r="K21" s="22">
        <f>H21*I21*(1-J21)</f>
        <v>360</v>
      </c>
      <c r="L21" s="22">
        <f>H21*I21*(1-J21)</f>
        <v>360</v>
      </c>
      <c r="M21" s="26" t="s">
        <v>362</v>
      </c>
      <c r="N21" s="24" t="s">
        <v>370</v>
      </c>
    </row>
    <row r="22" spans="2:14" ht="14.25" customHeight="1" x14ac:dyDescent="0.35">
      <c r="B22" s="28"/>
      <c r="C22" s="29" t="s">
        <v>371</v>
      </c>
      <c r="D22" s="28"/>
      <c r="E22" s="28"/>
      <c r="F22" s="28"/>
      <c r="G22" s="30">
        <f>SUM(G19:G21)</f>
        <v>14000</v>
      </c>
      <c r="H22" s="28"/>
      <c r="I22" s="28"/>
      <c r="J22" s="28"/>
      <c r="K22" s="30">
        <f>SUM(K19:K21)</f>
        <v>4530</v>
      </c>
      <c r="L22" s="30">
        <f>SUM(L19:L21)</f>
        <v>4530</v>
      </c>
      <c r="M22" s="28"/>
      <c r="N22" s="28"/>
    </row>
    <row r="24" spans="2:14" ht="14.25" customHeight="1" x14ac:dyDescent="0.35">
      <c r="B24" s="4" t="s">
        <v>372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2:14" ht="18" customHeight="1" x14ac:dyDescent="0.35">
      <c r="B25" s="5" t="s">
        <v>373</v>
      </c>
      <c r="C25" s="24" t="s">
        <v>374</v>
      </c>
      <c r="D25" s="25">
        <v>3</v>
      </c>
      <c r="E25" s="26" t="s">
        <v>375</v>
      </c>
      <c r="F25" s="25" t="s">
        <v>329</v>
      </c>
      <c r="G25" s="11">
        <v>7200</v>
      </c>
      <c r="H25" s="11">
        <v>4800</v>
      </c>
      <c r="I25" s="9">
        <v>0.6</v>
      </c>
      <c r="J25" s="9">
        <v>0.4</v>
      </c>
      <c r="K25" s="22">
        <f t="shared" ref="K25:K30" si="2">IF($E25="ACTIVE",H25*I25*(1-J25),0)</f>
        <v>0</v>
      </c>
      <c r="L25" s="31">
        <f>H25*I25*(1-J25)</f>
        <v>1728</v>
      </c>
      <c r="M25" s="26" t="s">
        <v>362</v>
      </c>
      <c r="N25" s="24" t="s">
        <v>376</v>
      </c>
    </row>
    <row r="26" spans="2:14" ht="47.25" customHeight="1" x14ac:dyDescent="0.35">
      <c r="B26" s="5" t="s">
        <v>377</v>
      </c>
      <c r="C26" s="24" t="s">
        <v>378</v>
      </c>
      <c r="D26" s="25">
        <v>3</v>
      </c>
      <c r="E26" s="26" t="s">
        <v>379</v>
      </c>
      <c r="F26" s="25" t="s">
        <v>329</v>
      </c>
      <c r="G26" s="11">
        <v>9600</v>
      </c>
      <c r="H26" s="11">
        <v>5400</v>
      </c>
      <c r="I26" s="9">
        <v>0.75</v>
      </c>
      <c r="J26" s="9">
        <v>0.35</v>
      </c>
      <c r="K26" s="22">
        <f t="shared" si="2"/>
        <v>2632.5</v>
      </c>
      <c r="L26" s="31">
        <f>H26*I26*(1-J26)*0.5</f>
        <v>1316.25</v>
      </c>
      <c r="M26" s="26" t="s">
        <v>362</v>
      </c>
      <c r="N26" s="24" t="s">
        <v>380</v>
      </c>
    </row>
    <row r="27" spans="2:14" ht="47.25" customHeight="1" x14ac:dyDescent="0.35">
      <c r="B27" s="5" t="s">
        <v>381</v>
      </c>
      <c r="C27" s="24" t="s">
        <v>382</v>
      </c>
      <c r="D27" s="25">
        <v>3</v>
      </c>
      <c r="E27" s="26" t="s">
        <v>379</v>
      </c>
      <c r="F27" s="25" t="s">
        <v>329</v>
      </c>
      <c r="G27" s="11">
        <v>12000</v>
      </c>
      <c r="H27" s="11">
        <v>6600</v>
      </c>
      <c r="I27" s="9">
        <v>0.55000000000000004</v>
      </c>
      <c r="J27" s="9">
        <v>0.4</v>
      </c>
      <c r="K27" s="22">
        <f t="shared" si="2"/>
        <v>2178</v>
      </c>
      <c r="L27" s="31">
        <f>H27*I27*(1-J27)*0.5</f>
        <v>1089</v>
      </c>
      <c r="M27" s="26" t="s">
        <v>362</v>
      </c>
      <c r="N27" s="24" t="s">
        <v>383</v>
      </c>
    </row>
    <row r="28" spans="2:14" ht="47.25" customHeight="1" x14ac:dyDescent="0.35">
      <c r="B28" s="5" t="s">
        <v>384</v>
      </c>
      <c r="C28" s="24" t="s">
        <v>385</v>
      </c>
      <c r="D28" s="25">
        <v>3</v>
      </c>
      <c r="E28" s="26" t="s">
        <v>379</v>
      </c>
      <c r="F28" s="25" t="s">
        <v>386</v>
      </c>
      <c r="G28" s="11">
        <v>8000</v>
      </c>
      <c r="H28" s="11">
        <v>4200</v>
      </c>
      <c r="I28" s="9">
        <v>0.7</v>
      </c>
      <c r="J28" s="9">
        <v>0.3</v>
      </c>
      <c r="K28" s="22">
        <f t="shared" si="2"/>
        <v>2058</v>
      </c>
      <c r="L28" s="31">
        <f>H28*I28*(1-J28)*0.5</f>
        <v>1029</v>
      </c>
      <c r="M28" s="26" t="s">
        <v>362</v>
      </c>
      <c r="N28" s="24" t="s">
        <v>387</v>
      </c>
    </row>
    <row r="29" spans="2:14" ht="18" customHeight="1" x14ac:dyDescent="0.35">
      <c r="B29" s="5" t="s">
        <v>388</v>
      </c>
      <c r="C29" s="24" t="s">
        <v>389</v>
      </c>
      <c r="D29" s="25">
        <v>3</v>
      </c>
      <c r="E29" s="26" t="s">
        <v>375</v>
      </c>
      <c r="F29" s="25" t="s">
        <v>329</v>
      </c>
      <c r="G29" s="11">
        <v>9800</v>
      </c>
      <c r="H29" s="11">
        <v>5400</v>
      </c>
      <c r="I29" s="9">
        <v>0.5</v>
      </c>
      <c r="J29" s="9">
        <v>0.5</v>
      </c>
      <c r="K29" s="22">
        <f t="shared" si="2"/>
        <v>0</v>
      </c>
      <c r="L29" s="31">
        <f>H29*I29*(1-J29)</f>
        <v>1350</v>
      </c>
      <c r="M29" s="26" t="s">
        <v>362</v>
      </c>
      <c r="N29" s="24" t="s">
        <v>390</v>
      </c>
    </row>
    <row r="30" spans="2:14" ht="47.25" customHeight="1" x14ac:dyDescent="0.35">
      <c r="B30" s="5" t="s">
        <v>391</v>
      </c>
      <c r="C30" s="24" t="s">
        <v>392</v>
      </c>
      <c r="D30" s="25">
        <v>3</v>
      </c>
      <c r="E30" s="26" t="s">
        <v>379</v>
      </c>
      <c r="F30" s="25" t="s">
        <v>329</v>
      </c>
      <c r="G30" s="11">
        <v>9600</v>
      </c>
      <c r="H30" s="11">
        <v>5800</v>
      </c>
      <c r="I30" s="9">
        <v>0.65</v>
      </c>
      <c r="J30" s="9">
        <v>0.35</v>
      </c>
      <c r="K30" s="22">
        <f t="shared" si="2"/>
        <v>2450.5</v>
      </c>
      <c r="L30" s="31">
        <f>H30*I30*(1-J30)*0.5</f>
        <v>1225.25</v>
      </c>
      <c r="M30" s="26" t="s">
        <v>362</v>
      </c>
      <c r="N30" s="24" t="s">
        <v>393</v>
      </c>
    </row>
    <row r="31" spans="2:14" ht="14.25" customHeight="1" x14ac:dyDescent="0.35">
      <c r="B31" s="28"/>
      <c r="C31" s="29" t="s">
        <v>394</v>
      </c>
      <c r="D31" s="28"/>
      <c r="E31" s="28"/>
      <c r="F31" s="28"/>
      <c r="G31" s="30">
        <f>SUMIF($E25:$E30,"ACTIVE",G25:G30)</f>
        <v>39200</v>
      </c>
      <c r="H31" s="28"/>
      <c r="I31" s="28"/>
      <c r="J31" s="28"/>
      <c r="K31" s="30">
        <f>SUM(K25:K30)</f>
        <v>9319</v>
      </c>
      <c r="L31" s="30">
        <f>SUM(L25:L30)</f>
        <v>7737.5</v>
      </c>
      <c r="M31" s="28"/>
      <c r="N31" s="28"/>
    </row>
    <row r="32" spans="2:14" ht="33" customHeight="1" x14ac:dyDescent="0.35">
      <c r="C32" s="5" t="s">
        <v>395</v>
      </c>
      <c r="K32" s="22">
        <f>SUMIF($E25:$E30,"RESERVE",L25:L30)</f>
        <v>3078</v>
      </c>
      <c r="N32" s="24" t="s">
        <v>396</v>
      </c>
    </row>
    <row r="34" spans="2:14" ht="14.25" customHeight="1" x14ac:dyDescent="0.35">
      <c r="B34" s="4" t="s">
        <v>397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2:14" ht="14.25" customHeight="1" x14ac:dyDescent="0.35">
      <c r="B35" s="16" t="s">
        <v>398</v>
      </c>
      <c r="C35" s="16" t="s">
        <v>399</v>
      </c>
      <c r="D35" s="16" t="s">
        <v>400</v>
      </c>
    </row>
    <row r="36" spans="2:14" ht="14.25" customHeight="1" x14ac:dyDescent="0.35">
      <c r="B36" s="5" t="s">
        <v>401</v>
      </c>
      <c r="C36" s="22">
        <f>G22</f>
        <v>14000</v>
      </c>
      <c r="D36" s="22">
        <f>K22</f>
        <v>4530</v>
      </c>
    </row>
    <row r="37" spans="2:14" ht="14.25" customHeight="1" x14ac:dyDescent="0.35">
      <c r="B37" s="5" t="s">
        <v>402</v>
      </c>
      <c r="C37" s="22">
        <f>G31</f>
        <v>39200</v>
      </c>
      <c r="D37" s="22">
        <f>K31</f>
        <v>9319</v>
      </c>
    </row>
    <row r="38" spans="2:14" ht="14.25" customHeight="1" x14ac:dyDescent="0.35">
      <c r="B38" s="29" t="s">
        <v>403</v>
      </c>
      <c r="C38" s="30">
        <f>C36+C37</f>
        <v>53200</v>
      </c>
      <c r="D38" s="30">
        <f>D36+D37</f>
        <v>13849</v>
      </c>
    </row>
    <row r="39" spans="2:14" ht="14.25" customHeight="1" x14ac:dyDescent="0.35">
      <c r="B39" s="5" t="s">
        <v>404</v>
      </c>
      <c r="D39" s="22">
        <f>cost_ceiling</f>
        <v>20000</v>
      </c>
    </row>
    <row r="40" spans="2:14" ht="14.25" customHeight="1" x14ac:dyDescent="0.35">
      <c r="B40" s="10" t="s">
        <v>405</v>
      </c>
      <c r="D40" s="11">
        <f>D39-D38</f>
        <v>6151</v>
      </c>
    </row>
    <row r="41" spans="2:14" ht="14.25" customHeight="1" x14ac:dyDescent="0.35">
      <c r="B41" s="10" t="s">
        <v>406</v>
      </c>
      <c r="D41" s="32">
        <f>C38/D38</f>
        <v>3.8414325944111489</v>
      </c>
    </row>
    <row r="42" spans="2:14" ht="14.25" customHeight="1" x14ac:dyDescent="0.35">
      <c r="B42" s="5" t="s">
        <v>407</v>
      </c>
      <c r="D42" s="22">
        <f>K16</f>
        <v>38900</v>
      </c>
    </row>
    <row r="44" spans="2:14" ht="14.25" customHeight="1" x14ac:dyDescent="0.35">
      <c r="B44" s="4" t="s">
        <v>408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2:14" ht="33" customHeight="1" x14ac:dyDescent="0.35">
      <c r="B45" s="33" t="s">
        <v>409</v>
      </c>
      <c r="C45" s="33" t="s">
        <v>410</v>
      </c>
      <c r="D45" s="34" t="s">
        <v>411</v>
      </c>
      <c r="E45" s="34" t="s">
        <v>412</v>
      </c>
      <c r="F45" s="34" t="s">
        <v>413</v>
      </c>
      <c r="G45" s="34" t="s">
        <v>414</v>
      </c>
      <c r="H45" s="34" t="s">
        <v>415</v>
      </c>
    </row>
    <row r="46" spans="2:14" ht="14.25" customHeight="1" x14ac:dyDescent="0.35">
      <c r="B46" s="10" t="s">
        <v>416</v>
      </c>
      <c r="C46" s="5" t="s">
        <v>417</v>
      </c>
      <c r="D46" s="35">
        <v>0.56000000000000005</v>
      </c>
      <c r="E46" s="35">
        <v>0.83499999999999996</v>
      </c>
      <c r="F46" s="35">
        <v>1.1399999999999999</v>
      </c>
      <c r="G46" s="35">
        <v>1.3029999999999999</v>
      </c>
      <c r="H46" s="35">
        <v>1.375</v>
      </c>
    </row>
    <row r="47" spans="2:14" ht="14.25" customHeight="1" x14ac:dyDescent="0.35">
      <c r="B47" s="5" t="s">
        <v>253</v>
      </c>
      <c r="D47" s="7">
        <v>0.18</v>
      </c>
      <c r="E47" s="7">
        <v>0.27</v>
      </c>
      <c r="F47" s="7">
        <v>0.3</v>
      </c>
      <c r="G47" s="7">
        <v>0.17</v>
      </c>
      <c r="H47" s="7">
        <v>0.08</v>
      </c>
    </row>
    <row r="48" spans="2:14" ht="18" customHeight="1" x14ac:dyDescent="0.35">
      <c r="B48" s="24" t="str">
        <f>C19</f>
        <v>Value Ledger</v>
      </c>
      <c r="C48" s="22">
        <f>H19*(1-J19)</f>
        <v>1200</v>
      </c>
      <c r="D48" s="22">
        <f t="shared" ref="D48:H50" si="3">IF($E19="RESERVE",0,$H19*MIN($I19*D$46,1)*(1-$J19))</f>
        <v>672.00000000000011</v>
      </c>
      <c r="E48" s="22">
        <f t="shared" si="3"/>
        <v>1002</v>
      </c>
      <c r="F48" s="22">
        <f t="shared" si="3"/>
        <v>1200</v>
      </c>
      <c r="G48" s="22">
        <f t="shared" si="3"/>
        <v>1200</v>
      </c>
      <c r="H48" s="22">
        <f t="shared" si="3"/>
        <v>1200</v>
      </c>
    </row>
    <row r="49" spans="2:14" ht="18" customHeight="1" x14ac:dyDescent="0.35">
      <c r="B49" s="24" t="str">
        <f>C20</f>
        <v>Progressive Milestone Ladder</v>
      </c>
      <c r="C49" s="22">
        <f>H20*(1-J20)</f>
        <v>6000</v>
      </c>
      <c r="D49" s="22">
        <f t="shared" si="3"/>
        <v>1663.2</v>
      </c>
      <c r="E49" s="22">
        <f t="shared" si="3"/>
        <v>2479.9499999999998</v>
      </c>
      <c r="F49" s="22">
        <f t="shared" si="3"/>
        <v>3385.7999999999993</v>
      </c>
      <c r="G49" s="22">
        <f t="shared" si="3"/>
        <v>3869.9099999999994</v>
      </c>
      <c r="H49" s="22">
        <f t="shared" si="3"/>
        <v>4083.75</v>
      </c>
    </row>
    <row r="50" spans="2:14" ht="18" customHeight="1" x14ac:dyDescent="0.35">
      <c r="B50" s="24" t="str">
        <f>C21</f>
        <v>Big-Ticket Digital Advantage</v>
      </c>
      <c r="C50" s="22">
        <f>H21*(1-J21)</f>
        <v>800</v>
      </c>
      <c r="D50" s="22">
        <f t="shared" si="3"/>
        <v>201.60000000000005</v>
      </c>
      <c r="E50" s="22">
        <f t="shared" si="3"/>
        <v>300.59999999999997</v>
      </c>
      <c r="F50" s="22">
        <f t="shared" si="3"/>
        <v>410.40000000000003</v>
      </c>
      <c r="G50" s="22">
        <f t="shared" si="3"/>
        <v>469.08000000000004</v>
      </c>
      <c r="H50" s="22">
        <f t="shared" si="3"/>
        <v>495</v>
      </c>
    </row>
    <row r="51" spans="2:14" ht="18" customHeight="1" x14ac:dyDescent="0.35">
      <c r="B51" s="24" t="str">
        <f t="shared" ref="B51:B56" si="4">C25</f>
        <v>Premium Ground Mobility</v>
      </c>
      <c r="C51" s="22">
        <f t="shared" ref="C51:C56" si="5">H25*(1-J25)</f>
        <v>2880</v>
      </c>
      <c r="D51" s="22">
        <f t="shared" ref="D51:H56" si="6">IF($E25="RESERVE",0,$H25*MIN($I25*D$46,1)*(1-$J25))</f>
        <v>0</v>
      </c>
      <c r="E51" s="22">
        <f t="shared" si="6"/>
        <v>0</v>
      </c>
      <c r="F51" s="22">
        <f t="shared" si="6"/>
        <v>0</v>
      </c>
      <c r="G51" s="22">
        <f t="shared" si="6"/>
        <v>0</v>
      </c>
      <c r="H51" s="22">
        <f t="shared" si="6"/>
        <v>0</v>
      </c>
    </row>
    <row r="52" spans="2:14" ht="18" customHeight="1" x14ac:dyDescent="0.35">
      <c r="B52" s="24" t="str">
        <f t="shared" si="4"/>
        <v>Culinary Access</v>
      </c>
      <c r="C52" s="22">
        <f t="shared" si="5"/>
        <v>3510</v>
      </c>
      <c r="D52" s="22">
        <f t="shared" si="6"/>
        <v>1474.2</v>
      </c>
      <c r="E52" s="22">
        <f t="shared" si="6"/>
        <v>2198.1375000000003</v>
      </c>
      <c r="F52" s="22">
        <f t="shared" si="6"/>
        <v>3001.05</v>
      </c>
      <c r="G52" s="22">
        <f t="shared" si="6"/>
        <v>3430.1475</v>
      </c>
      <c r="H52" s="22">
        <f t="shared" si="6"/>
        <v>3510</v>
      </c>
    </row>
    <row r="53" spans="2:14" ht="18" customHeight="1" x14ac:dyDescent="0.35">
      <c r="B53" s="24" t="str">
        <f t="shared" si="4"/>
        <v>Luxury Digital Retail</v>
      </c>
      <c r="C53" s="22">
        <f t="shared" si="5"/>
        <v>3960</v>
      </c>
      <c r="D53" s="22">
        <f t="shared" si="6"/>
        <v>1219.6800000000003</v>
      </c>
      <c r="E53" s="22">
        <f t="shared" si="6"/>
        <v>1818.6299999999999</v>
      </c>
      <c r="F53" s="22">
        <f t="shared" si="6"/>
        <v>2482.9199999999996</v>
      </c>
      <c r="G53" s="22">
        <f t="shared" si="6"/>
        <v>2837.9340000000002</v>
      </c>
      <c r="H53" s="22">
        <f t="shared" si="6"/>
        <v>2994.7500000000005</v>
      </c>
    </row>
    <row r="54" spans="2:14" ht="18" customHeight="1" x14ac:dyDescent="0.35">
      <c r="B54" s="24" t="str">
        <f t="shared" si="4"/>
        <v>Preventive Health</v>
      </c>
      <c r="C54" s="22">
        <f t="shared" si="5"/>
        <v>2940</v>
      </c>
      <c r="D54" s="22">
        <f t="shared" si="6"/>
        <v>1152.48</v>
      </c>
      <c r="E54" s="22">
        <f t="shared" si="6"/>
        <v>1718.4299999999996</v>
      </c>
      <c r="F54" s="22">
        <f t="shared" si="6"/>
        <v>2346.12</v>
      </c>
      <c r="G54" s="22">
        <f t="shared" si="6"/>
        <v>2681.5739999999996</v>
      </c>
      <c r="H54" s="22">
        <f t="shared" si="6"/>
        <v>2829.7499999999995</v>
      </c>
    </row>
    <row r="55" spans="2:14" ht="18" customHeight="1" x14ac:dyDescent="0.35">
      <c r="B55" s="24" t="str">
        <f t="shared" si="4"/>
        <v>Culture &amp; Events</v>
      </c>
      <c r="C55" s="22">
        <f t="shared" si="5"/>
        <v>2700</v>
      </c>
      <c r="D55" s="22">
        <f t="shared" si="6"/>
        <v>0</v>
      </c>
      <c r="E55" s="22">
        <f t="shared" si="6"/>
        <v>0</v>
      </c>
      <c r="F55" s="22">
        <f t="shared" si="6"/>
        <v>0</v>
      </c>
      <c r="G55" s="22">
        <f t="shared" si="6"/>
        <v>0</v>
      </c>
      <c r="H55" s="22">
        <f t="shared" si="6"/>
        <v>0</v>
      </c>
    </row>
    <row r="56" spans="2:14" ht="18" customHeight="1" x14ac:dyDescent="0.35">
      <c r="B56" s="24" t="str">
        <f t="shared" si="4"/>
        <v>Premium Household Services</v>
      </c>
      <c r="C56" s="22">
        <f t="shared" si="5"/>
        <v>3770</v>
      </c>
      <c r="D56" s="22">
        <f t="shared" si="6"/>
        <v>1372.2800000000002</v>
      </c>
      <c r="E56" s="22">
        <f t="shared" si="6"/>
        <v>2046.1675</v>
      </c>
      <c r="F56" s="22">
        <f t="shared" si="6"/>
        <v>2793.57</v>
      </c>
      <c r="G56" s="22">
        <f t="shared" si="6"/>
        <v>3193.0014999999999</v>
      </c>
      <c r="H56" s="22">
        <f t="shared" si="6"/>
        <v>3369.4375</v>
      </c>
    </row>
    <row r="57" spans="2:14" ht="14.25" customHeight="1" x14ac:dyDescent="0.35">
      <c r="B57" s="29" t="s">
        <v>418</v>
      </c>
      <c r="C57" s="28"/>
      <c r="D57" s="30">
        <f>SUM(D48:D56)</f>
        <v>7755.4400000000005</v>
      </c>
      <c r="E57" s="30">
        <f>SUM(E48:E56)</f>
        <v>11563.914999999999</v>
      </c>
      <c r="F57" s="30">
        <f>SUM(F48:F56)</f>
        <v>15619.859999999997</v>
      </c>
      <c r="G57" s="30">
        <f>SUM(G48:G56)</f>
        <v>17681.647000000001</v>
      </c>
      <c r="H57" s="30">
        <f>SUM(H48:H56)</f>
        <v>18482.6875</v>
      </c>
    </row>
    <row r="58" spans="2:14" ht="14.25" customHeight="1" x14ac:dyDescent="0.35">
      <c r="B58" s="10" t="s">
        <v>419</v>
      </c>
      <c r="D58" s="9">
        <f>D57/cost_ceiling</f>
        <v>0.38777200000000001</v>
      </c>
      <c r="E58" s="9">
        <f>E57/cost_ceiling</f>
        <v>0.5781957499999999</v>
      </c>
      <c r="F58" s="9">
        <f>F57/cost_ceiling</f>
        <v>0.78099299999999983</v>
      </c>
      <c r="G58" s="9">
        <f>G57/cost_ceiling</f>
        <v>0.88408235000000002</v>
      </c>
      <c r="H58" s="9">
        <f>H57/cost_ceiling</f>
        <v>0.92413437499999995</v>
      </c>
    </row>
    <row r="59" spans="2:14" ht="14.25" customHeight="1" x14ac:dyDescent="0.35">
      <c r="B59" s="10" t="s">
        <v>420</v>
      </c>
      <c r="D59" s="26" t="str">
        <f>IF(D57&lt;=cost_ceiling,"PASS","BREACH")</f>
        <v>PASS</v>
      </c>
      <c r="E59" s="26" t="str">
        <f>IF(E57&lt;=cost_ceiling,"PASS","BREACH")</f>
        <v>PASS</v>
      </c>
      <c r="F59" s="26" t="str">
        <f>IF(F57&lt;=cost_ceiling,"PASS","BREACH")</f>
        <v>PASS</v>
      </c>
      <c r="G59" s="26" t="str">
        <f>IF(G57&lt;=cost_ceiling,"PASS","BREACH")</f>
        <v>PASS</v>
      </c>
      <c r="H59" s="26" t="str">
        <f>IF(H57&lt;=cost_ceiling,"PASS","BREACH")</f>
        <v>PASS</v>
      </c>
    </row>
    <row r="60" spans="2:14" ht="14.25" customHeight="1" x14ac:dyDescent="0.35">
      <c r="B60" s="5" t="s">
        <v>421</v>
      </c>
      <c r="C60" s="22">
        <f>SUMPRODUCT(D47:H47,D57:H57)</f>
        <v>13688.689239999998</v>
      </c>
    </row>
    <row r="62" spans="2:14" ht="14.25" customHeight="1" x14ac:dyDescent="0.35">
      <c r="B62" s="4" t="s">
        <v>295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2:14" ht="14.25" customHeight="1" x14ac:dyDescent="0.35">
      <c r="B63" s="5" t="s">
        <v>422</v>
      </c>
      <c r="C63" s="22">
        <f>D38</f>
        <v>13849</v>
      </c>
      <c r="D63" s="26" t="str">
        <f>IF(D38&lt;=D39,"PASS","FAIL")</f>
        <v>PASS</v>
      </c>
    </row>
    <row r="64" spans="2:14" ht="14.25" customHeight="1" x14ac:dyDescent="0.35">
      <c r="B64" s="5" t="s">
        <v>423</v>
      </c>
      <c r="C64" s="22">
        <f>D40</f>
        <v>6151</v>
      </c>
      <c r="D64" s="26" t="str">
        <f>IF(D40&gt;=0,"PASS","FAIL")</f>
        <v>PASS</v>
      </c>
    </row>
    <row r="65" spans="2:4" ht="14.25" customHeight="1" x14ac:dyDescent="0.35">
      <c r="B65" s="5" t="s">
        <v>424</v>
      </c>
      <c r="C65" s="36">
        <f>D41</f>
        <v>3.8414325944111489</v>
      </c>
      <c r="D65" s="26" t="str">
        <f>IF(D41&gt;=3,"PASS","FAIL")</f>
        <v>PASS</v>
      </c>
    </row>
    <row r="66" spans="2:4" ht="14.25" customHeight="1" x14ac:dyDescent="0.35">
      <c r="B66" s="5" t="s">
        <v>425</v>
      </c>
      <c r="C66" s="22">
        <f>MAX(D57:H57)</f>
        <v>18482.6875</v>
      </c>
      <c r="D66" s="26" t="str">
        <f>IF(MAX(D57:H57)&lt;=cost_ceiling,"PASS","FAIL")</f>
        <v>PASS</v>
      </c>
    </row>
    <row r="67" spans="2:4" ht="14.25" customHeight="1" x14ac:dyDescent="0.35">
      <c r="B67" s="5" t="s">
        <v>426</v>
      </c>
      <c r="C67" s="7">
        <f>C60/D38-1</f>
        <v>-1.157561990035394E-2</v>
      </c>
      <c r="D67" s="26" t="str">
        <f>IF(ABS(C60/D38-1)&lt;0.05,"PASS","FAIL")</f>
        <v>PASS</v>
      </c>
    </row>
    <row r="68" spans="2:4" ht="14.25" customHeight="1" x14ac:dyDescent="0.35">
      <c r="B68" s="5" t="s">
        <v>427</v>
      </c>
      <c r="C68" s="22">
        <f>D42</f>
        <v>38900</v>
      </c>
      <c r="D68" s="26" t="str">
        <f>IF(ABS(D42-38900)&lt;1,"PASS","FAIL")</f>
        <v>PASS</v>
      </c>
    </row>
    <row r="69" spans="2:4" ht="14.25" customHeight="1" x14ac:dyDescent="0.35">
      <c r="B69" s="5" t="s">
        <v>428</v>
      </c>
      <c r="C69" s="37">
        <f>COUNTIF(E25:E30,"ACTIVE")</f>
        <v>4</v>
      </c>
      <c r="D69" s="26" t="str">
        <f>IF(COUNTIF(E25:E30,"ACTIVE")=4,"PASS","FAIL")</f>
        <v>PASS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8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10" sqref="E10"/>
    </sheetView>
  </sheetViews>
  <sheetFormatPr defaultColWidth="8.6328125" defaultRowHeight="14.5" x14ac:dyDescent="0.35"/>
  <cols>
    <col min="2" max="2" width="12" customWidth="1"/>
    <col min="3" max="3" width="30" customWidth="1"/>
    <col min="4" max="6" width="15" customWidth="1"/>
    <col min="7" max="7" width="18" customWidth="1"/>
    <col min="8" max="8" width="40" customWidth="1"/>
  </cols>
  <sheetData>
    <row r="1" spans="2:8" ht="15.75" customHeight="1" x14ac:dyDescent="0.4">
      <c r="B1" s="1" t="s">
        <v>429</v>
      </c>
      <c r="C1" s="2"/>
      <c r="D1" s="2"/>
      <c r="E1" s="2"/>
      <c r="F1" s="2"/>
      <c r="G1" s="2"/>
      <c r="H1" s="2"/>
    </row>
    <row r="3" spans="2:8" ht="33" customHeight="1" x14ac:dyDescent="0.35">
      <c r="B3" s="38" t="s">
        <v>53</v>
      </c>
      <c r="C3" s="38" t="s">
        <v>430</v>
      </c>
      <c r="D3" s="38" t="s">
        <v>431</v>
      </c>
      <c r="E3" s="38" t="s">
        <v>432</v>
      </c>
      <c r="F3" s="38" t="s">
        <v>433</v>
      </c>
      <c r="G3" s="38" t="s">
        <v>434</v>
      </c>
      <c r="H3" s="38" t="s">
        <v>435</v>
      </c>
    </row>
    <row r="4" spans="2:8" ht="14.25" customHeight="1" x14ac:dyDescent="0.35">
      <c r="B4" s="5" t="s">
        <v>315</v>
      </c>
      <c r="C4" s="5" t="s">
        <v>436</v>
      </c>
      <c r="D4" s="22">
        <v>800</v>
      </c>
      <c r="E4" s="5" t="s">
        <v>437</v>
      </c>
      <c r="F4" s="22">
        <v>0</v>
      </c>
      <c r="G4" s="5" t="s">
        <v>438</v>
      </c>
      <c r="H4" s="5" t="s">
        <v>439</v>
      </c>
    </row>
    <row r="5" spans="2:8" ht="14.25" customHeight="1" x14ac:dyDescent="0.35">
      <c r="B5" s="5" t="s">
        <v>321</v>
      </c>
      <c r="C5" s="5" t="s">
        <v>322</v>
      </c>
      <c r="D5" s="22">
        <v>450</v>
      </c>
      <c r="E5" s="5" t="s">
        <v>437</v>
      </c>
      <c r="F5" s="22">
        <v>0</v>
      </c>
      <c r="G5" s="5" t="s">
        <v>438</v>
      </c>
      <c r="H5" s="5" t="s">
        <v>439</v>
      </c>
    </row>
    <row r="6" spans="2:8" ht="14.25" customHeight="1" x14ac:dyDescent="0.35">
      <c r="B6" s="5" t="s">
        <v>324</v>
      </c>
      <c r="C6" s="5" t="s">
        <v>325</v>
      </c>
      <c r="D6" s="22">
        <v>14800</v>
      </c>
      <c r="E6" s="10" t="s">
        <v>440</v>
      </c>
      <c r="F6" s="22">
        <v>7400</v>
      </c>
      <c r="G6" s="5" t="s">
        <v>438</v>
      </c>
      <c r="H6" s="5" t="s">
        <v>441</v>
      </c>
    </row>
    <row r="7" spans="2:8" ht="14.25" customHeight="1" x14ac:dyDescent="0.35">
      <c r="B7" s="5" t="s">
        <v>327</v>
      </c>
      <c r="C7" s="5" t="s">
        <v>328</v>
      </c>
      <c r="D7" s="22">
        <v>8000</v>
      </c>
      <c r="E7" s="10" t="s">
        <v>442</v>
      </c>
      <c r="F7" s="22">
        <v>3000</v>
      </c>
      <c r="G7" s="5" t="s">
        <v>438</v>
      </c>
      <c r="H7" s="5" t="s">
        <v>443</v>
      </c>
    </row>
    <row r="8" spans="2:8" ht="14.25" customHeight="1" x14ac:dyDescent="0.35">
      <c r="B8" s="5" t="s">
        <v>333</v>
      </c>
      <c r="C8" s="5" t="s">
        <v>444</v>
      </c>
      <c r="D8" s="22">
        <v>1200</v>
      </c>
      <c r="E8" s="5" t="s">
        <v>437</v>
      </c>
      <c r="F8" s="22">
        <v>0</v>
      </c>
      <c r="G8" s="5" t="s">
        <v>438</v>
      </c>
      <c r="H8" s="5" t="s">
        <v>445</v>
      </c>
    </row>
    <row r="9" spans="2:8" ht="14.25" customHeight="1" x14ac:dyDescent="0.35">
      <c r="B9" s="5" t="s">
        <v>336</v>
      </c>
      <c r="C9" s="5" t="s">
        <v>446</v>
      </c>
      <c r="D9" s="22">
        <v>12000</v>
      </c>
      <c r="E9" s="5" t="s">
        <v>437</v>
      </c>
      <c r="F9" s="22">
        <v>0</v>
      </c>
      <c r="G9" s="5" t="s">
        <v>438</v>
      </c>
      <c r="H9" s="5" t="s">
        <v>447</v>
      </c>
    </row>
    <row r="10" spans="2:8" ht="14.25" customHeight="1" x14ac:dyDescent="0.35">
      <c r="B10" s="5" t="s">
        <v>340</v>
      </c>
      <c r="C10" s="5" t="s">
        <v>448</v>
      </c>
      <c r="D10" s="22">
        <v>3850</v>
      </c>
      <c r="E10" s="10" t="s">
        <v>449</v>
      </c>
      <c r="F10" s="22">
        <v>3850</v>
      </c>
      <c r="G10" s="5" t="s">
        <v>438</v>
      </c>
      <c r="H10" s="5" t="s">
        <v>450</v>
      </c>
    </row>
    <row r="11" spans="2:8" ht="14.25" customHeight="1" x14ac:dyDescent="0.35">
      <c r="B11" s="5" t="s">
        <v>348</v>
      </c>
      <c r="C11" s="5" t="s">
        <v>349</v>
      </c>
      <c r="D11" s="22">
        <v>4200</v>
      </c>
      <c r="E11" s="5" t="s">
        <v>437</v>
      </c>
      <c r="F11" s="22">
        <v>0</v>
      </c>
      <c r="G11" s="5" t="s">
        <v>438</v>
      </c>
      <c r="H11" s="5" t="s">
        <v>451</v>
      </c>
    </row>
    <row r="12" spans="2:8" ht="14.25" customHeight="1" x14ac:dyDescent="0.35">
      <c r="B12" s="5" t="s">
        <v>352</v>
      </c>
      <c r="C12" s="5" t="s">
        <v>353</v>
      </c>
      <c r="D12" s="22">
        <v>1100</v>
      </c>
      <c r="E12" s="5" t="s">
        <v>437</v>
      </c>
      <c r="F12" s="22">
        <v>0</v>
      </c>
      <c r="G12" s="5" t="s">
        <v>438</v>
      </c>
      <c r="H12" s="5" t="s">
        <v>451</v>
      </c>
    </row>
    <row r="13" spans="2:8" ht="14.25" customHeight="1" x14ac:dyDescent="0.35">
      <c r="B13" s="10" t="s">
        <v>452</v>
      </c>
      <c r="C13" s="2"/>
      <c r="D13" s="2"/>
      <c r="E13" s="2"/>
      <c r="F13" s="39">
        <v>14250</v>
      </c>
      <c r="G13" s="2"/>
      <c r="H13" s="2"/>
    </row>
    <row r="15" spans="2:8" ht="14.25" customHeight="1" x14ac:dyDescent="0.35">
      <c r="B15" s="10" t="s">
        <v>453</v>
      </c>
      <c r="D15" s="11">
        <f>SUM(D4:D12)</f>
        <v>46400</v>
      </c>
    </row>
    <row r="16" spans="2:8" ht="14.25" customHeight="1" x14ac:dyDescent="0.35">
      <c r="B16" s="10" t="s">
        <v>454</v>
      </c>
      <c r="D16" s="11">
        <f>D15-F13</f>
        <v>32150</v>
      </c>
    </row>
    <row r="18" spans="2:4" ht="14.25" customHeight="1" x14ac:dyDescent="0.35">
      <c r="B18" s="4" t="s">
        <v>455</v>
      </c>
      <c r="D18" s="10" t="str">
        <f>IF(AND(COUNTIF(G4:G14,"✓ YES")&gt;=2), "PASS — Lounge + Hotel kept", "FAIL")</f>
        <v>PASS — Lounge + Hotel kept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60"/>
  <sheetViews>
    <sheetView showGridLines="0" topLeftCell="B1" zoomScaleNormal="100" workbookViewId="0">
      <selection activeCell="J9" sqref="J9"/>
    </sheetView>
  </sheetViews>
  <sheetFormatPr defaultColWidth="8.6328125" defaultRowHeight="14.5" x14ac:dyDescent="0.35"/>
  <cols>
    <col min="2" max="2" width="42" customWidth="1"/>
    <col min="3" max="3" width="8" customWidth="1"/>
    <col min="4" max="6" width="14" customWidth="1"/>
    <col min="7" max="7" width="15" customWidth="1"/>
    <col min="8" max="8" width="34" customWidth="1"/>
    <col min="10" max="10" width="26" customWidth="1"/>
    <col min="11" max="11" width="12" customWidth="1"/>
  </cols>
  <sheetData>
    <row r="1" spans="2:11" ht="15.75" customHeight="1" x14ac:dyDescent="0.4">
      <c r="B1" s="1" t="s">
        <v>456</v>
      </c>
      <c r="C1" s="2"/>
      <c r="D1" s="3" t="s">
        <v>457</v>
      </c>
      <c r="E1" s="2"/>
      <c r="F1" s="2"/>
      <c r="G1" s="2"/>
      <c r="H1" s="2"/>
      <c r="I1" s="2"/>
      <c r="J1" s="2"/>
      <c r="K1" s="2"/>
    </row>
    <row r="2" spans="2:11" ht="14.25" customHeight="1" x14ac:dyDescent="0.35">
      <c r="J2" s="4" t="s">
        <v>458</v>
      </c>
    </row>
    <row r="3" spans="2:11" ht="14.25" customHeight="1" x14ac:dyDescent="0.35">
      <c r="B3" s="4" t="s">
        <v>459</v>
      </c>
      <c r="C3" s="2"/>
      <c r="D3" s="2"/>
      <c r="E3" s="2"/>
      <c r="F3" s="2"/>
      <c r="G3" s="2"/>
      <c r="H3" s="2"/>
      <c r="J3" s="5" t="s">
        <v>460</v>
      </c>
      <c r="K3" s="11">
        <v>60000</v>
      </c>
    </row>
    <row r="4" spans="2:11" ht="14.25" customHeight="1" x14ac:dyDescent="0.35">
      <c r="B4" s="4" t="s">
        <v>461</v>
      </c>
      <c r="C4" s="4" t="s">
        <v>53</v>
      </c>
      <c r="D4" s="4" t="s">
        <v>462</v>
      </c>
      <c r="E4" s="4" t="s">
        <v>19</v>
      </c>
      <c r="F4" s="4" t="s">
        <v>463</v>
      </c>
      <c r="G4" s="4" t="s">
        <v>464</v>
      </c>
      <c r="H4" s="4" t="s">
        <v>465</v>
      </c>
      <c r="J4" s="5" t="s">
        <v>466</v>
      </c>
      <c r="K4" s="9">
        <v>0.55000000000000004</v>
      </c>
    </row>
    <row r="5" spans="2:11" ht="33" customHeight="1" x14ac:dyDescent="0.35">
      <c r="B5" s="5" t="s">
        <v>467</v>
      </c>
      <c r="C5" s="3" t="s">
        <v>468</v>
      </c>
      <c r="D5" s="9">
        <v>-0.05</v>
      </c>
      <c r="E5" s="9">
        <v>0.08</v>
      </c>
      <c r="F5" s="9">
        <v>0.15</v>
      </c>
      <c r="G5" s="9">
        <f t="shared" ref="G5:G11" si="0">INDEX(D5:F5,MATCH(scenario,$D$4:$F$4,0))</f>
        <v>0.08</v>
      </c>
      <c r="H5" s="40" t="s">
        <v>469</v>
      </c>
      <c r="J5" s="5" t="s">
        <v>470</v>
      </c>
      <c r="K5" s="9">
        <v>0.6</v>
      </c>
    </row>
    <row r="6" spans="2:11" ht="18" customHeight="1" x14ac:dyDescent="0.35">
      <c r="B6" s="5" t="s">
        <v>122</v>
      </c>
      <c r="C6" s="3" t="s">
        <v>471</v>
      </c>
      <c r="D6" s="9">
        <v>0.5</v>
      </c>
      <c r="E6" s="9">
        <v>0.57999999999999996</v>
      </c>
      <c r="F6" s="9">
        <v>0.68</v>
      </c>
      <c r="G6" s="9">
        <f t="shared" si="0"/>
        <v>0.57999999999999996</v>
      </c>
      <c r="H6" s="40" t="s">
        <v>472</v>
      </c>
      <c r="J6" s="5" t="s">
        <v>473</v>
      </c>
      <c r="K6" s="11">
        <v>6000</v>
      </c>
    </row>
    <row r="7" spans="2:11" ht="18" customHeight="1" x14ac:dyDescent="0.35">
      <c r="B7" s="5" t="s">
        <v>474</v>
      </c>
      <c r="C7" s="3" t="s">
        <v>475</v>
      </c>
      <c r="D7" s="9">
        <v>0.45</v>
      </c>
      <c r="E7" s="9">
        <v>0.6</v>
      </c>
      <c r="F7" s="9">
        <v>0.75</v>
      </c>
      <c r="G7" s="9">
        <f t="shared" si="0"/>
        <v>0.6</v>
      </c>
      <c r="H7" s="40" t="s">
        <v>476</v>
      </c>
      <c r="J7" s="5" t="s">
        <v>477</v>
      </c>
      <c r="K7" s="9">
        <v>0.9</v>
      </c>
    </row>
    <row r="8" spans="2:11" ht="33" customHeight="1" x14ac:dyDescent="0.35">
      <c r="B8" s="5" t="s">
        <v>478</v>
      </c>
      <c r="C8" s="3" t="s">
        <v>479</v>
      </c>
      <c r="D8" s="9">
        <v>0.5</v>
      </c>
      <c r="E8" s="9">
        <v>0.65</v>
      </c>
      <c r="F8" s="9">
        <v>0.8</v>
      </c>
      <c r="G8" s="9">
        <f t="shared" si="0"/>
        <v>0.65</v>
      </c>
      <c r="H8" s="40" t="s">
        <v>480</v>
      </c>
      <c r="J8" s="5" t="s">
        <v>481</v>
      </c>
      <c r="K8" s="39">
        <v>14250</v>
      </c>
    </row>
    <row r="9" spans="2:11" ht="33" customHeight="1" x14ac:dyDescent="0.35">
      <c r="B9" s="5" t="s">
        <v>482</v>
      </c>
      <c r="C9" s="3" t="s">
        <v>483</v>
      </c>
      <c r="D9" s="9">
        <v>0.11</v>
      </c>
      <c r="E9" s="9">
        <v>0.09</v>
      </c>
      <c r="F9" s="9">
        <v>7.0000000000000007E-2</v>
      </c>
      <c r="G9" s="9">
        <f t="shared" si="0"/>
        <v>0.09</v>
      </c>
      <c r="H9" s="40" t="s">
        <v>484</v>
      </c>
      <c r="J9" s="5" t="s">
        <v>485</v>
      </c>
      <c r="K9" s="13">
        <v>0.97499999999999998</v>
      </c>
    </row>
    <row r="10" spans="2:11" ht="18" customHeight="1" x14ac:dyDescent="0.35">
      <c r="B10" s="5" t="s">
        <v>486</v>
      </c>
      <c r="C10" s="3" t="s">
        <v>487</v>
      </c>
      <c r="D10" s="9">
        <v>-0.1</v>
      </c>
      <c r="E10" s="9">
        <v>0.15</v>
      </c>
      <c r="F10" s="9">
        <v>0.35</v>
      </c>
      <c r="G10" s="9">
        <f t="shared" si="0"/>
        <v>0.15</v>
      </c>
      <c r="H10" s="40" t="s">
        <v>488</v>
      </c>
      <c r="J10" s="5" t="s">
        <v>489</v>
      </c>
      <c r="K10" s="13">
        <v>0.35</v>
      </c>
    </row>
    <row r="11" spans="2:11" ht="33" customHeight="1" x14ac:dyDescent="0.35">
      <c r="B11" s="5" t="s">
        <v>490</v>
      </c>
      <c r="C11" s="3" t="s">
        <v>491</v>
      </c>
      <c r="D11" s="9">
        <f>MAX(0.75,acc_base-acc_elasticity*(fee_annual-fee_baseline)/fee_baseline)</f>
        <v>0.92833333333333334</v>
      </c>
      <c r="E11" s="9">
        <f>MAX(0.75,acc_base-acc_elasticity*(fee_annual-fee_baseline)/fee_baseline)</f>
        <v>0.92833333333333334</v>
      </c>
      <c r="F11" s="9">
        <f>MAX(0.75,acc_base-acc_elasticity*(fee_annual-fee_baseline)/fee_baseline)</f>
        <v>0.92833333333333334</v>
      </c>
      <c r="G11" s="9">
        <f t="shared" si="0"/>
        <v>0.92833333333333334</v>
      </c>
      <c r="H11" s="40" t="s">
        <v>492</v>
      </c>
    </row>
    <row r="13" spans="2:11" ht="14.25" customHeight="1" x14ac:dyDescent="0.35">
      <c r="B13" s="4" t="s">
        <v>493</v>
      </c>
      <c r="C13" s="2"/>
      <c r="D13" s="2"/>
      <c r="E13" s="2"/>
      <c r="F13" s="2"/>
      <c r="G13" s="2"/>
      <c r="H13" s="2"/>
    </row>
    <row r="14" spans="2:11" ht="18" customHeight="1" x14ac:dyDescent="0.35">
      <c r="B14" s="10" t="s">
        <v>494</v>
      </c>
      <c r="C14" s="3" t="s">
        <v>495</v>
      </c>
      <c r="D14" s="11">
        <f>'2_Baseline_PnL'!$I$39</f>
        <v>30128.729446575351</v>
      </c>
      <c r="E14" s="11">
        <f>'2_Baseline_PnL'!$I$39</f>
        <v>30128.729446575351</v>
      </c>
      <c r="F14" s="11">
        <f>'2_Baseline_PnL'!$I$39</f>
        <v>30128.729446575351</v>
      </c>
      <c r="G14" s="11">
        <f>INDEX(D14:F14,MATCH(scenario,$D$4:$F$4,0))</f>
        <v>30128.729446575351</v>
      </c>
      <c r="H14" s="40" t="s">
        <v>496</v>
      </c>
    </row>
    <row r="15" spans="2:11" ht="33" customHeight="1" x14ac:dyDescent="0.35">
      <c r="B15" s="5" t="s">
        <v>497</v>
      </c>
      <c r="C15" s="3" t="s">
        <v>4</v>
      </c>
      <c r="D15" s="22">
        <f>-(fee_annual-fee_baseline)</f>
        <v>-8000</v>
      </c>
      <c r="E15" s="22">
        <f>-(fee_annual-fee_baseline)</f>
        <v>-8000</v>
      </c>
      <c r="F15" s="22">
        <f>-(fee_annual-fee_baseline)</f>
        <v>-8000</v>
      </c>
      <c r="G15" s="11">
        <f>INDEX(D15:F15,MATCH(scenario,$D$4:$F$4,0))</f>
        <v>-8000</v>
      </c>
      <c r="H15" s="40" t="s">
        <v>498</v>
      </c>
    </row>
    <row r="16" spans="2:11" ht="14.25" customHeight="1" x14ac:dyDescent="0.35">
      <c r="B16" s="10" t="s">
        <v>499</v>
      </c>
      <c r="C16" s="41"/>
      <c r="D16" s="11">
        <f>D14+D15</f>
        <v>22128.729446575351</v>
      </c>
      <c r="E16" s="11">
        <f>E14+E15</f>
        <v>22128.729446575351</v>
      </c>
      <c r="F16" s="11">
        <f>F14+F15</f>
        <v>22128.729446575351</v>
      </c>
      <c r="G16" s="11">
        <f>INDEX(D16:F16,MATCH(scenario,$D$4:$F$4,0))</f>
        <v>22128.729446575351</v>
      </c>
    </row>
    <row r="18" spans="2:8" ht="33" customHeight="1" x14ac:dyDescent="0.35">
      <c r="B18" s="5" t="s">
        <v>500</v>
      </c>
      <c r="C18" s="3" t="s">
        <v>4</v>
      </c>
      <c r="D18" s="22">
        <f>fee_annual-fee_baseline</f>
        <v>8000</v>
      </c>
      <c r="E18" s="22">
        <f>fee_annual-fee_baseline</f>
        <v>8000</v>
      </c>
      <c r="F18" s="22">
        <f>fee_annual-fee_baseline</f>
        <v>8000</v>
      </c>
      <c r="G18" s="11">
        <f t="shared" ref="G18:G25" si="1">INDEX(D18:F18,MATCH(scenario,$D$4:$F$4,0))</f>
        <v>8000</v>
      </c>
      <c r="H18" s="40" t="s">
        <v>501</v>
      </c>
    </row>
    <row r="19" spans="2:8" ht="14.25" customHeight="1" x14ac:dyDescent="0.35">
      <c r="B19" s="5" t="s">
        <v>502</v>
      </c>
      <c r="C19" s="3" t="s">
        <v>133</v>
      </c>
      <c r="D19" s="22">
        <f>'2_Baseline_PnL'!$I$5*D5*disc_rate</f>
        <v>-2129.12</v>
      </c>
      <c r="E19" s="22">
        <f>'2_Baseline_PnL'!$I$5*E5*disc_rate</f>
        <v>3406.5920000000001</v>
      </c>
      <c r="F19" s="22">
        <f>'2_Baseline_PnL'!$I$5*F5*disc_rate</f>
        <v>6387.36</v>
      </c>
      <c r="G19" s="11">
        <f t="shared" si="1"/>
        <v>3406.5920000000001</v>
      </c>
    </row>
    <row r="20" spans="2:8" ht="14.25" customHeight="1" x14ac:dyDescent="0.35">
      <c r="B20" s="5" t="s">
        <v>503</v>
      </c>
      <c r="C20" s="3" t="s">
        <v>24</v>
      </c>
      <c r="D20" s="22">
        <f>'2_Baseline_PnL'!$I$25*D5</f>
        <v>-189.81</v>
      </c>
      <c r="E20" s="22">
        <f>'2_Baseline_PnL'!$I$25*E5</f>
        <v>303.69599999999997</v>
      </c>
      <c r="F20" s="22">
        <f>'2_Baseline_PnL'!$I$25*F5</f>
        <v>569.42999999999995</v>
      </c>
      <c r="G20" s="11">
        <f t="shared" si="1"/>
        <v>303.69599999999997</v>
      </c>
    </row>
    <row r="21" spans="2:8" ht="14.25" customHeight="1" x14ac:dyDescent="0.35">
      <c r="B21" s="5" t="s">
        <v>504</v>
      </c>
      <c r="C21" s="3" t="s">
        <v>505</v>
      </c>
      <c r="D21" s="22">
        <v>901.53024000000005</v>
      </c>
      <c r="E21" s="22">
        <v>-1442.448384</v>
      </c>
      <c r="F21" s="22">
        <v>-2704.5907200000001</v>
      </c>
      <c r="G21" s="11">
        <f t="shared" si="1"/>
        <v>-1442.448384</v>
      </c>
    </row>
    <row r="22" spans="2:8" ht="14.25" customHeight="1" x14ac:dyDescent="0.35">
      <c r="B22" s="5" t="s">
        <v>506</v>
      </c>
      <c r="C22" s="3" t="s">
        <v>185</v>
      </c>
      <c r="D22" s="22">
        <v>370.69499999999999</v>
      </c>
      <c r="E22" s="22">
        <v>-593.11199999999997</v>
      </c>
      <c r="F22" s="22">
        <v>-1112.085</v>
      </c>
      <c r="G22" s="11">
        <f t="shared" si="1"/>
        <v>-593.11199999999997</v>
      </c>
    </row>
    <row r="23" spans="2:8" ht="14.25" customHeight="1" x14ac:dyDescent="0.35">
      <c r="B23" s="5" t="s">
        <v>507</v>
      </c>
      <c r="C23" s="3" t="s">
        <v>200</v>
      </c>
      <c r="D23" s="22">
        <v>47.524999999999999</v>
      </c>
      <c r="E23" s="22">
        <v>-76.040000000000006</v>
      </c>
      <c r="F23" s="22">
        <v>-142.57499999999999</v>
      </c>
      <c r="G23" s="11">
        <f t="shared" si="1"/>
        <v>-76.040000000000006</v>
      </c>
    </row>
    <row r="24" spans="2:8" ht="14.25" customHeight="1" x14ac:dyDescent="0.35">
      <c r="B24" s="5" t="s">
        <v>508</v>
      </c>
      <c r="C24" s="3" t="s">
        <v>509</v>
      </c>
      <c r="D24" s="22">
        <v>876.54328767123297</v>
      </c>
      <c r="E24" s="22">
        <v>-1402.4692602739699</v>
      </c>
      <c r="F24" s="22">
        <v>-2629.6298630136998</v>
      </c>
      <c r="G24" s="11">
        <f t="shared" si="1"/>
        <v>-1402.4692602739699</v>
      </c>
    </row>
    <row r="25" spans="2:8" ht="14.25" customHeight="1" x14ac:dyDescent="0.35">
      <c r="B25" s="10"/>
      <c r="C25" s="41"/>
      <c r="D25" s="30">
        <f>SUM(D19:D24)</f>
        <v>-122.6364723287669</v>
      </c>
      <c r="E25" s="30">
        <f>SUM(E19:E24)</f>
        <v>196.21835572603027</v>
      </c>
      <c r="F25" s="30">
        <f>SUM(F19:F24)</f>
        <v>367.90941698630013</v>
      </c>
      <c r="G25" s="11">
        <f t="shared" si="1"/>
        <v>196.21835572603027</v>
      </c>
    </row>
    <row r="27" spans="2:8" ht="14.25" customHeight="1" x14ac:dyDescent="0.35">
      <c r="B27" s="5" t="s">
        <v>510</v>
      </c>
      <c r="C27" s="3" t="s">
        <v>511</v>
      </c>
      <c r="D27" s="22">
        <f>-(l2_cost+ladder_unit*ladder_redeem*(D6-attain_baseline))</f>
        <v>-4260</v>
      </c>
      <c r="E27" s="22">
        <f>-(l2_cost+ladder_unit*ladder_redeem*(E6-attain_baseline))</f>
        <v>-4692</v>
      </c>
      <c r="F27" s="22">
        <f>-(l2_cost+ladder_unit*ladder_redeem*(F6-attain_baseline))</f>
        <v>-5232</v>
      </c>
      <c r="G27" s="11">
        <f t="shared" ref="G27:G35" si="2">INDEX(D27:F27,MATCH(scenario,$D$4:$F$4,0))</f>
        <v>-4692</v>
      </c>
    </row>
    <row r="28" spans="2:8" ht="14.25" customHeight="1" x14ac:dyDescent="0.35">
      <c r="B28" s="5" t="s">
        <v>512</v>
      </c>
      <c r="C28" s="3" t="s">
        <v>513</v>
      </c>
      <c r="D28" s="30">
        <f>-2970</f>
        <v>-2970</v>
      </c>
      <c r="E28" s="30">
        <f>-2970</f>
        <v>-2970</v>
      </c>
      <c r="F28" s="30">
        <f>-2970</f>
        <v>-2970</v>
      </c>
      <c r="G28" s="11">
        <f t="shared" si="2"/>
        <v>-2970</v>
      </c>
    </row>
    <row r="29" spans="2:8" ht="14.25" customHeight="1" x14ac:dyDescent="0.35">
      <c r="B29" s="10" t="s">
        <v>514</v>
      </c>
      <c r="C29" s="3" t="s">
        <v>511</v>
      </c>
      <c r="D29" s="11">
        <f>D27-D28</f>
        <v>-1290</v>
      </c>
      <c r="E29" s="11">
        <f>E27-E28</f>
        <v>-1722</v>
      </c>
      <c r="F29" s="11">
        <f>F27-F28</f>
        <v>-2262</v>
      </c>
      <c r="G29" s="11">
        <f t="shared" si="2"/>
        <v>-1722</v>
      </c>
    </row>
    <row r="30" spans="2:8" ht="14.25" customHeight="1" x14ac:dyDescent="0.35">
      <c r="B30" s="5" t="s">
        <v>515</v>
      </c>
      <c r="C30" s="3" t="s">
        <v>511</v>
      </c>
      <c r="D30" s="22">
        <f>-l3_cost*D7/util_baseline</f>
        <v>-6989.2500000000009</v>
      </c>
      <c r="E30" s="22">
        <f>-l3_cost*E7/util_baseline</f>
        <v>-9319</v>
      </c>
      <c r="F30" s="22">
        <f>-l3_cost*F7/util_baseline</f>
        <v>-11648.75</v>
      </c>
      <c r="G30" s="11">
        <f t="shared" si="2"/>
        <v>-9319</v>
      </c>
    </row>
    <row r="31" spans="2:8" ht="33" customHeight="1" x14ac:dyDescent="0.35">
      <c r="B31" s="5" t="s">
        <v>516</v>
      </c>
      <c r="C31" s="3" t="s">
        <v>513</v>
      </c>
      <c r="D31" s="22">
        <f>l1_reclaim</f>
        <v>14250</v>
      </c>
      <c r="E31" s="22">
        <f>l1_reclaim</f>
        <v>14250</v>
      </c>
      <c r="F31" s="22">
        <f>l1_reclaim</f>
        <v>14250</v>
      </c>
      <c r="G31" s="11">
        <f t="shared" si="2"/>
        <v>14250</v>
      </c>
      <c r="H31" s="40" t="s">
        <v>517</v>
      </c>
    </row>
    <row r="32" spans="2:8" ht="14.25" customHeight="1" x14ac:dyDescent="0.35">
      <c r="B32" s="10"/>
      <c r="C32" s="3" t="s">
        <v>518</v>
      </c>
      <c r="D32" s="11">
        <f>D29+D30</f>
        <v>-8279.25</v>
      </c>
      <c r="E32" s="11">
        <f>E29+E30</f>
        <v>-11041</v>
      </c>
      <c r="F32" s="11">
        <f>F29+F30</f>
        <v>-13910.75</v>
      </c>
      <c r="G32" s="11">
        <f t="shared" si="2"/>
        <v>-11041</v>
      </c>
    </row>
    <row r="33" spans="2:8" ht="33" customHeight="1" x14ac:dyDescent="0.35">
      <c r="B33" s="5" t="s">
        <v>519</v>
      </c>
      <c r="C33" s="3" t="s">
        <v>483</v>
      </c>
      <c r="D33" s="30">
        <f>(attrition-D9)*(D16+cac)</f>
        <v>-656.28729446575323</v>
      </c>
      <c r="E33" s="30">
        <f>(attrition-E9)*(E16+cac)</f>
        <v>656.28729446575414</v>
      </c>
      <c r="F33" s="30">
        <f>(attrition-F9)*(F16+cac)</f>
        <v>1968.8618833972605</v>
      </c>
      <c r="G33" s="11">
        <f t="shared" si="2"/>
        <v>656.28729446575414</v>
      </c>
      <c r="H33" s="40" t="s">
        <v>520</v>
      </c>
    </row>
    <row r="34" spans="2:8" ht="14.25" customHeight="1" x14ac:dyDescent="0.35">
      <c r="B34" s="10" t="s">
        <v>521</v>
      </c>
      <c r="C34" s="41"/>
      <c r="D34" s="11">
        <f>D16+D18+D25+D27+D30+D31</f>
        <v>33006.842974246581</v>
      </c>
      <c r="E34" s="11">
        <f>E16+E18+E25+E27+E30+E31</f>
        <v>30563.94780230138</v>
      </c>
      <c r="F34" s="11">
        <f>F16+F18+F25+F27+F30+F31</f>
        <v>27865.888863561653</v>
      </c>
      <c r="G34" s="11">
        <f t="shared" si="2"/>
        <v>30563.94780230138</v>
      </c>
    </row>
    <row r="35" spans="2:8" ht="14.25" customHeight="1" x14ac:dyDescent="0.35">
      <c r="B35" s="10" t="s">
        <v>522</v>
      </c>
      <c r="C35" s="41"/>
      <c r="D35" s="11">
        <f>D34-D16</f>
        <v>10878.11352767123</v>
      </c>
      <c r="E35" s="11">
        <f>E34-E16</f>
        <v>8435.2183557260287</v>
      </c>
      <c r="F35" s="11">
        <f>F34-F16</f>
        <v>5737.1594169863019</v>
      </c>
      <c r="G35" s="11">
        <f t="shared" si="2"/>
        <v>8435.2183557260287</v>
      </c>
    </row>
    <row r="37" spans="2:8" ht="14.25" customHeight="1" x14ac:dyDescent="0.35">
      <c r="B37" s="4" t="s">
        <v>523</v>
      </c>
      <c r="C37" s="2"/>
      <c r="D37" s="2"/>
      <c r="E37" s="2"/>
      <c r="F37" s="2"/>
      <c r="G37" s="2"/>
      <c r="H37" s="2"/>
    </row>
    <row r="38" spans="2:8" ht="33" customHeight="1" x14ac:dyDescent="0.35">
      <c r="B38" s="5" t="s">
        <v>524</v>
      </c>
      <c r="C38" s="41"/>
      <c r="D38" s="42">
        <f>IF(D5=0,"n/a",D25/('2_Baseline_PnL'!$I$5*D5))</f>
        <v>1.290231166004912E-3</v>
      </c>
      <c r="E38" s="42">
        <f>IF(E5=0,"n/a",E25/('2_Baseline_PnL'!$I$5*E5))</f>
        <v>1.2902311660049333E-3</v>
      </c>
      <c r="F38" s="42">
        <f>IF(F5=0,"n/a",F25/('2_Baseline_PnL'!$I$5*F5))</f>
        <v>1.2902311660049101E-3</v>
      </c>
      <c r="G38" s="20">
        <f>INDEX(D38:F38,MATCH(scenario,$D$4:$F$4,0))</f>
        <v>1.2902311660049333E-3</v>
      </c>
      <c r="H38" s="40" t="s">
        <v>525</v>
      </c>
    </row>
    <row r="39" spans="2:8" ht="14.25" customHeight="1" x14ac:dyDescent="0.35">
      <c r="B39" s="10" t="s">
        <v>526</v>
      </c>
      <c r="C39" s="41"/>
      <c r="D39" s="11">
        <f>-(D27+D30)</f>
        <v>11249.25</v>
      </c>
      <c r="E39" s="11">
        <f>-(E27+E30)</f>
        <v>14011</v>
      </c>
      <c r="F39" s="11">
        <f>-(F27+F30)</f>
        <v>16880.75</v>
      </c>
      <c r="G39" s="11">
        <f>INDEX(D39:F39,MATCH(scenario,$D$4:$F$4,0))</f>
        <v>14011</v>
      </c>
    </row>
    <row r="40" spans="2:8" ht="14.25" customHeight="1" x14ac:dyDescent="0.35">
      <c r="B40" s="5" t="s">
        <v>527</v>
      </c>
      <c r="C40" s="41"/>
      <c r="D40" s="7">
        <f>D39/cost_ceiling</f>
        <v>0.56246249999999998</v>
      </c>
      <c r="E40" s="7">
        <f>E39/cost_ceiling</f>
        <v>0.70055000000000001</v>
      </c>
      <c r="F40" s="7">
        <f>F39/cost_ceiling</f>
        <v>0.8440375</v>
      </c>
      <c r="G40" s="9">
        <f>INDEX(D40:F40,MATCH(scenario,$D$4:$F$4,0))</f>
        <v>0.70055000000000001</v>
      </c>
    </row>
    <row r="41" spans="2:8" ht="33" customHeight="1" x14ac:dyDescent="0.35">
      <c r="B41" s="5" t="s">
        <v>528</v>
      </c>
      <c r="C41" s="41"/>
      <c r="D41" s="7">
        <f>(D18+D31+D33)/D39</f>
        <v>1.9195691006541988</v>
      </c>
      <c r="E41" s="7">
        <f>(E18+E31+E33)/E39</f>
        <v>1.6348788305235711</v>
      </c>
      <c r="F41" s="7">
        <f>(F18+F31+F33)/F39</f>
        <v>1.4347029535652895</v>
      </c>
      <c r="G41" s="9">
        <f>INDEX(D41:F41,MATCH(scenario,$D$4:$F$4,0))</f>
        <v>1.6348788305235711</v>
      </c>
      <c r="H41" s="40" t="s">
        <v>529</v>
      </c>
    </row>
    <row r="43" spans="2:8" ht="14.25" customHeight="1" x14ac:dyDescent="0.35">
      <c r="B43" s="4" t="s">
        <v>530</v>
      </c>
      <c r="C43" s="2"/>
      <c r="D43" s="2"/>
      <c r="E43" s="2"/>
      <c r="F43" s="2"/>
      <c r="G43" s="2"/>
      <c r="H43" s="2"/>
    </row>
    <row r="44" spans="2:8" ht="14.25" customHeight="1" x14ac:dyDescent="0.35">
      <c r="B44" s="5" t="s">
        <v>531</v>
      </c>
      <c r="D44" s="22">
        <f t="shared" ref="D44:G45" si="3">D34</f>
        <v>33006.842974246581</v>
      </c>
      <c r="E44" s="22">
        <f t="shared" si="3"/>
        <v>30563.94780230138</v>
      </c>
      <c r="F44" s="22">
        <f t="shared" si="3"/>
        <v>27865.888863561653</v>
      </c>
      <c r="G44" s="11">
        <f t="shared" si="3"/>
        <v>30563.94780230138</v>
      </c>
    </row>
    <row r="45" spans="2:8" ht="14.25" customHeight="1" x14ac:dyDescent="0.35">
      <c r="B45" s="5" t="s">
        <v>532</v>
      </c>
      <c r="D45" s="22">
        <f t="shared" si="3"/>
        <v>10878.11352767123</v>
      </c>
      <c r="E45" s="22">
        <f t="shared" si="3"/>
        <v>8435.2183557260287</v>
      </c>
      <c r="F45" s="22">
        <f t="shared" si="3"/>
        <v>5737.1594169863019</v>
      </c>
      <c r="G45" s="11">
        <f t="shared" si="3"/>
        <v>8435.2183557260287</v>
      </c>
    </row>
    <row r="46" spans="2:8" ht="14.25" customHeight="1" x14ac:dyDescent="0.35">
      <c r="B46" s="5" t="s">
        <v>533</v>
      </c>
      <c r="D46" s="22">
        <f>D16</f>
        <v>22128.729446575351</v>
      </c>
      <c r="E46" s="22">
        <f>E16</f>
        <v>22128.729446575351</v>
      </c>
      <c r="F46" s="22">
        <f>F16</f>
        <v>22128.729446575351</v>
      </c>
      <c r="G46" s="11">
        <f>G16</f>
        <v>22128.729446575351</v>
      </c>
    </row>
    <row r="47" spans="2:8" ht="14.25" customHeight="1" x14ac:dyDescent="0.35">
      <c r="B47" s="5" t="s">
        <v>534</v>
      </c>
      <c r="D47" s="22">
        <f>D39</f>
        <v>11249.25</v>
      </c>
      <c r="E47" s="22">
        <f>E39</f>
        <v>14011</v>
      </c>
      <c r="F47" s="22">
        <f>F39</f>
        <v>16880.75</v>
      </c>
      <c r="G47" s="11">
        <f>G39</f>
        <v>14011</v>
      </c>
    </row>
    <row r="48" spans="2:8" ht="14.25" customHeight="1" x14ac:dyDescent="0.35">
      <c r="B48" s="5" t="s">
        <v>482</v>
      </c>
      <c r="D48" s="7">
        <f t="shared" ref="D48:G50" si="4">D9</f>
        <v>0.11</v>
      </c>
      <c r="E48" s="7">
        <f t="shared" si="4"/>
        <v>0.09</v>
      </c>
      <c r="F48" s="7">
        <f t="shared" si="4"/>
        <v>7.0000000000000007E-2</v>
      </c>
      <c r="G48" s="9">
        <f t="shared" si="4"/>
        <v>0.09</v>
      </c>
    </row>
    <row r="49" spans="2:8" ht="14.25" customHeight="1" x14ac:dyDescent="0.35">
      <c r="B49" s="5" t="s">
        <v>486</v>
      </c>
      <c r="D49" s="7">
        <f t="shared" si="4"/>
        <v>-0.1</v>
      </c>
      <c r="E49" s="7">
        <f t="shared" si="4"/>
        <v>0.15</v>
      </c>
      <c r="F49" s="7">
        <f t="shared" si="4"/>
        <v>0.35</v>
      </c>
      <c r="G49" s="9">
        <f t="shared" si="4"/>
        <v>0.15</v>
      </c>
    </row>
    <row r="50" spans="2:8" ht="14.25" customHeight="1" x14ac:dyDescent="0.35">
      <c r="B50" s="5" t="s">
        <v>535</v>
      </c>
      <c r="D50" s="7">
        <f t="shared" si="4"/>
        <v>0.92833333333333334</v>
      </c>
      <c r="E50" s="7">
        <f t="shared" si="4"/>
        <v>0.92833333333333334</v>
      </c>
      <c r="F50" s="7">
        <f t="shared" si="4"/>
        <v>0.92833333333333334</v>
      </c>
      <c r="G50" s="9">
        <f t="shared" si="4"/>
        <v>0.92833333333333334</v>
      </c>
    </row>
    <row r="51" spans="2:8" ht="14.25" customHeight="1" x14ac:dyDescent="0.35">
      <c r="B51" s="5" t="s">
        <v>536</v>
      </c>
      <c r="D51" s="7">
        <f>D5</f>
        <v>-0.05</v>
      </c>
      <c r="E51" s="7">
        <f>E5</f>
        <v>0.08</v>
      </c>
      <c r="F51" s="7">
        <f>F5</f>
        <v>0.15</v>
      </c>
      <c r="G51" s="9">
        <f>G5</f>
        <v>0.08</v>
      </c>
    </row>
    <row r="53" spans="2:8" ht="14.25" customHeight="1" x14ac:dyDescent="0.35">
      <c r="B53" s="4" t="s">
        <v>295</v>
      </c>
      <c r="C53" s="2"/>
      <c r="D53" s="2"/>
      <c r="E53" s="2"/>
      <c r="F53" s="2"/>
      <c r="G53" s="2"/>
      <c r="H53" s="2"/>
    </row>
    <row r="54" spans="2:8" ht="14.25" customHeight="1" x14ac:dyDescent="0.35">
      <c r="B54" s="5" t="s">
        <v>537</v>
      </c>
      <c r="C54" s="5"/>
      <c r="D54" s="22">
        <f>F39</f>
        <v>16880.75</v>
      </c>
      <c r="E54" s="10" t="str">
        <f>IF(F39&lt;=cost_ceiling,"PASS","FAIL")</f>
        <v>PASS</v>
      </c>
    </row>
    <row r="55" spans="2:8" ht="14.25" customHeight="1" x14ac:dyDescent="0.35">
      <c r="B55" s="5" t="s">
        <v>538</v>
      </c>
      <c r="C55" s="5"/>
      <c r="D55" s="22">
        <f>D39</f>
        <v>11249.25</v>
      </c>
      <c r="E55" s="10" t="str">
        <f>IF(D39&gt;=l2_cost*0.8,"PASS","CHECK")</f>
        <v>PASS</v>
      </c>
    </row>
    <row r="56" spans="2:8" ht="14.25" customHeight="1" x14ac:dyDescent="0.35">
      <c r="B56" s="5" t="s">
        <v>539</v>
      </c>
      <c r="C56" s="5"/>
      <c r="D56" s="7">
        <f>F5-D5</f>
        <v>0.2</v>
      </c>
      <c r="E56" s="10" t="str">
        <f>IF(AND(D5&lt;E5,E5&lt;F5),"PASS","FAIL")</f>
        <v>PASS</v>
      </c>
    </row>
    <row r="57" spans="2:8" ht="14.25" customHeight="1" x14ac:dyDescent="0.35">
      <c r="B57" s="5" t="s">
        <v>540</v>
      </c>
      <c r="C57" s="5"/>
      <c r="D57" s="7">
        <f>D9-F9</f>
        <v>3.9999999999999994E-2</v>
      </c>
      <c r="E57" s="10" t="str">
        <f>IF(AND(D9&gt;E9,E9&gt;F9),"PASS","FAIL")</f>
        <v>PASS</v>
      </c>
    </row>
    <row r="58" spans="2:8" ht="14.25" customHeight="1" x14ac:dyDescent="0.35">
      <c r="B58" s="5" t="s">
        <v>541</v>
      </c>
      <c r="C58" s="5"/>
      <c r="D58" s="22">
        <f>E16</f>
        <v>22128.729446575351</v>
      </c>
      <c r="E58" s="10" t="str">
        <f>IF(ABS(E16-('2_Baseline_PnL'!$I$39-(fee_annual-fee_baseline)))&lt;1,"PASS","FAIL")</f>
        <v>PASS</v>
      </c>
    </row>
    <row r="59" spans="2:8" ht="14.25" customHeight="1" x14ac:dyDescent="0.35">
      <c r="B59" s="5" t="s">
        <v>542</v>
      </c>
      <c r="C59" s="5"/>
      <c r="D59" s="22">
        <f>E35</f>
        <v>8435.2183557260287</v>
      </c>
      <c r="E59" s="10" t="str">
        <f>IF(E35&gt;=0,"PASS","FAIL — redesign is per-card dilutive")</f>
        <v>PASS</v>
      </c>
    </row>
    <row r="60" spans="2:8" ht="14.25" customHeight="1" x14ac:dyDescent="0.35">
      <c r="B60" s="5" t="s">
        <v>543</v>
      </c>
      <c r="C60" s="5"/>
      <c r="D60" s="43" t="s">
        <v>513</v>
      </c>
      <c r="E60" s="10" t="s">
        <v>544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67"/>
  <sheetViews>
    <sheetView showGridLines="0" topLeftCell="A41" zoomScaleNormal="100" workbookViewId="0">
      <selection activeCell="B54" sqref="B54"/>
    </sheetView>
  </sheetViews>
  <sheetFormatPr defaultColWidth="8.6328125" defaultRowHeight="14.5" x14ac:dyDescent="0.35"/>
  <cols>
    <col min="2" max="2" width="58" customWidth="1"/>
    <col min="3" max="3" width="10" customWidth="1"/>
    <col min="4" max="9" width="14" customWidth="1"/>
    <col min="10" max="10" width="4" customWidth="1"/>
    <col min="11" max="11" width="46" customWidth="1"/>
    <col min="12" max="12" width="14" customWidth="1"/>
  </cols>
  <sheetData>
    <row r="1" spans="2:12" ht="15.75" customHeight="1" x14ac:dyDescent="0.4">
      <c r="B1" s="1" t="s">
        <v>545</v>
      </c>
      <c r="C1" s="2"/>
      <c r="D1" s="3" t="s">
        <v>546</v>
      </c>
      <c r="E1" s="2"/>
      <c r="F1" s="2"/>
      <c r="G1" s="2"/>
      <c r="H1" s="2"/>
      <c r="I1" s="2"/>
      <c r="J1" s="2"/>
      <c r="K1" s="2"/>
      <c r="L1" s="2"/>
    </row>
    <row r="2" spans="2:12" ht="14.25" customHeight="1" x14ac:dyDescent="0.35">
      <c r="K2" s="4" t="s">
        <v>547</v>
      </c>
    </row>
    <row r="3" spans="2:12" ht="14.25" customHeight="1" x14ac:dyDescent="0.35">
      <c r="B3" s="4" t="s">
        <v>548</v>
      </c>
      <c r="C3" s="2"/>
      <c r="D3" s="2"/>
      <c r="E3" s="2"/>
      <c r="F3" s="2"/>
      <c r="G3" s="2"/>
      <c r="H3" s="2"/>
      <c r="I3" s="2"/>
      <c r="K3" s="5" t="s">
        <v>549</v>
      </c>
      <c r="L3" s="11">
        <v>40000000</v>
      </c>
    </row>
    <row r="4" spans="2:12" ht="14.25" customHeight="1" x14ac:dyDescent="0.35">
      <c r="B4" s="4" t="s">
        <v>550</v>
      </c>
      <c r="C4" s="4" t="s">
        <v>53</v>
      </c>
      <c r="D4" s="4" t="s">
        <v>551</v>
      </c>
      <c r="E4" s="4" t="s">
        <v>552</v>
      </c>
      <c r="F4" s="4" t="s">
        <v>553</v>
      </c>
      <c r="G4" s="4" t="s">
        <v>554</v>
      </c>
      <c r="H4" s="4" t="s">
        <v>555</v>
      </c>
      <c r="I4" s="4" t="s">
        <v>556</v>
      </c>
      <c r="K4" s="5" t="s">
        <v>557</v>
      </c>
      <c r="L4" s="11">
        <v>15000000</v>
      </c>
    </row>
    <row r="5" spans="2:12" ht="14.25" customHeight="1" x14ac:dyDescent="0.35">
      <c r="B5" s="10" t="s">
        <v>558</v>
      </c>
      <c r="C5" s="3" t="s">
        <v>99</v>
      </c>
      <c r="D5" s="11">
        <f>card_base</f>
        <v>40000</v>
      </c>
      <c r="E5" s="11">
        <f>D5+D6</f>
        <v>40000</v>
      </c>
      <c r="F5" s="11">
        <f>E5+E6</f>
        <v>41813.333333333336</v>
      </c>
      <c r="G5" s="11">
        <f>F5+F6</f>
        <v>46705.493333333332</v>
      </c>
      <c r="H5" s="11">
        <f>G5+G6</f>
        <v>52170.03605333333</v>
      </c>
      <c r="I5" s="11">
        <f>H5+H6</f>
        <v>58273.930271573328</v>
      </c>
      <c r="K5" s="5" t="s">
        <v>559</v>
      </c>
      <c r="L5" s="44">
        <f>(L3+L4)/10000000</f>
        <v>5.5</v>
      </c>
    </row>
    <row r="6" spans="2:12" ht="14.25" customHeight="1" x14ac:dyDescent="0.35">
      <c r="B6" s="5" t="s">
        <v>560</v>
      </c>
      <c r="C6" s="3" t="s">
        <v>561</v>
      </c>
      <c r="D6" s="5">
        <f>0</f>
        <v>0</v>
      </c>
      <c r="E6" s="22">
        <f>E5*(acq_rate_base*(1+scen_acq_uplift)-scen_attrition-(1-scen_fee_acceptance))</f>
        <v>1813.3333333333335</v>
      </c>
      <c r="F6" s="22">
        <f>F5*(acq_rate_base*(1+scen_acq_uplift)-scen_attrition)</f>
        <v>4892.16</v>
      </c>
      <c r="G6" s="22">
        <f>G5*(acq_rate_base*(1+scen_acq_uplift)-scen_attrition)</f>
        <v>5464.5427199999995</v>
      </c>
      <c r="H6" s="22">
        <f>H5*(acq_rate_base*(1+scen_acq_uplift)-scen_attrition)</f>
        <v>6103.8942182399996</v>
      </c>
      <c r="I6" s="22">
        <f>I5*(acq_rate_base*(1+scen_acq_uplift)-scen_attrition)</f>
        <v>6818.0498417740791</v>
      </c>
      <c r="K6" s="5" t="s">
        <v>562</v>
      </c>
      <c r="L6" s="11">
        <v>0</v>
      </c>
    </row>
    <row r="7" spans="2:12" ht="14.25" customHeight="1" x14ac:dyDescent="0.35">
      <c r="B7" s="10" t="s">
        <v>563</v>
      </c>
      <c r="D7" s="11">
        <f t="shared" ref="D7:I7" si="0">D5+D6</f>
        <v>40000</v>
      </c>
      <c r="E7" s="11">
        <f t="shared" si="0"/>
        <v>41813.333333333336</v>
      </c>
      <c r="F7" s="11">
        <f t="shared" si="0"/>
        <v>46705.493333333332</v>
      </c>
      <c r="G7" s="11">
        <f t="shared" si="0"/>
        <v>52170.03605333333</v>
      </c>
      <c r="H7" s="11">
        <f t="shared" si="0"/>
        <v>58273.930271573328</v>
      </c>
      <c r="I7" s="11">
        <f t="shared" si="0"/>
        <v>65091.98011334741</v>
      </c>
      <c r="K7" s="5" t="s">
        <v>564</v>
      </c>
      <c r="L7" s="9">
        <v>0.18</v>
      </c>
    </row>
    <row r="8" spans="2:12" ht="14.25" customHeight="1" x14ac:dyDescent="0.35">
      <c r="B8" s="10" t="s">
        <v>565</v>
      </c>
      <c r="C8" s="3" t="s">
        <v>566</v>
      </c>
      <c r="D8" s="11">
        <f>card_base</f>
        <v>40000</v>
      </c>
      <c r="E8" s="11">
        <f>D8*(1+acq_rate_base-attrition)</f>
        <v>43199.999999999993</v>
      </c>
      <c r="F8" s="11">
        <f>E8*(1+acq_rate_base-attrition)</f>
        <v>46655.999999999985</v>
      </c>
      <c r="G8" s="11">
        <f>F8*(1+acq_rate_base-attrition)</f>
        <v>50388.479999999974</v>
      </c>
      <c r="H8" s="11">
        <f>G8*(1+acq_rate_base-attrition)</f>
        <v>54419.558399999965</v>
      </c>
      <c r="I8" s="11">
        <f>H8*(1+acq_rate_base-attrition)</f>
        <v>58773.123071999951</v>
      </c>
    </row>
    <row r="9" spans="2:12" ht="14.25" customHeight="1" x14ac:dyDescent="0.35">
      <c r="B9" s="10" t="s">
        <v>567</v>
      </c>
      <c r="D9" s="30">
        <f t="shared" ref="D9:I9" si="1">D7-D8</f>
        <v>0</v>
      </c>
      <c r="E9" s="30">
        <f t="shared" si="1"/>
        <v>-1386.666666666657</v>
      </c>
      <c r="F9" s="30">
        <f t="shared" si="1"/>
        <v>49.493333333346527</v>
      </c>
      <c r="G9" s="30">
        <f t="shared" si="1"/>
        <v>1781.5560533333555</v>
      </c>
      <c r="H9" s="30">
        <f t="shared" si="1"/>
        <v>3854.371871573363</v>
      </c>
      <c r="I9" s="30">
        <f t="shared" si="1"/>
        <v>6318.857041347459</v>
      </c>
    </row>
    <row r="11" spans="2:12" ht="14.25" customHeight="1" x14ac:dyDescent="0.35">
      <c r="B11" s="4" t="s">
        <v>568</v>
      </c>
      <c r="C11" s="2"/>
      <c r="D11" s="2"/>
      <c r="E11" s="2"/>
      <c r="F11" s="2"/>
      <c r="G11" s="2"/>
      <c r="H11" s="2"/>
      <c r="I11" s="2"/>
    </row>
    <row r="12" spans="2:12" ht="14.25" customHeight="1" x14ac:dyDescent="0.35">
      <c r="B12" s="5" t="s">
        <v>569</v>
      </c>
      <c r="C12" s="3" t="s">
        <v>570</v>
      </c>
      <c r="D12" s="31">
        <f>scen_contrib_pre</f>
        <v>22128.729446575351</v>
      </c>
      <c r="E12" s="31">
        <f>D12</f>
        <v>22128.729446575351</v>
      </c>
      <c r="F12" s="31">
        <f>D12</f>
        <v>22128.729446575351</v>
      </c>
      <c r="G12" s="31">
        <f>D12</f>
        <v>22128.729446575351</v>
      </c>
      <c r="H12" s="31">
        <f>D12</f>
        <v>22128.729446575351</v>
      </c>
      <c r="I12" s="31">
        <f>D12</f>
        <v>22128.729446575351</v>
      </c>
    </row>
    <row r="13" spans="2:12" ht="14.25" customHeight="1" x14ac:dyDescent="0.35">
      <c r="B13" s="5" t="s">
        <v>571</v>
      </c>
      <c r="C13" s="3" t="s">
        <v>4</v>
      </c>
      <c r="D13" s="31">
        <f>fee_annual-fee_baseline</f>
        <v>8000</v>
      </c>
      <c r="E13" s="31">
        <f>D13</f>
        <v>8000</v>
      </c>
      <c r="F13" s="31">
        <f>D13</f>
        <v>8000</v>
      </c>
      <c r="G13" s="31">
        <f>D13</f>
        <v>8000</v>
      </c>
      <c r="H13" s="31">
        <f>D13</f>
        <v>8000</v>
      </c>
      <c r="I13" s="31">
        <f>D13</f>
        <v>8000</v>
      </c>
    </row>
    <row r="14" spans="2:12" ht="14.25" customHeight="1" x14ac:dyDescent="0.35">
      <c r="B14" s="10" t="s">
        <v>572</v>
      </c>
      <c r="C14" s="3" t="s">
        <v>573</v>
      </c>
      <c r="D14" s="11">
        <f>scen_contrib_delta</f>
        <v>8435.2183557260287</v>
      </c>
      <c r="E14" s="11">
        <f>D14</f>
        <v>8435.2183557260287</v>
      </c>
      <c r="F14" s="11">
        <f>D14</f>
        <v>8435.2183557260287</v>
      </c>
      <c r="G14" s="11">
        <f>D14</f>
        <v>8435.2183557260287</v>
      </c>
      <c r="H14" s="11">
        <f>D14</f>
        <v>8435.2183557260287</v>
      </c>
      <c r="I14" s="11">
        <f>D14</f>
        <v>8435.2183557260287</v>
      </c>
    </row>
    <row r="15" spans="2:12" ht="14.25" customHeight="1" x14ac:dyDescent="0.35">
      <c r="B15" s="10" t="s">
        <v>574</v>
      </c>
      <c r="D15" s="11">
        <f t="shared" ref="D15:I15" si="2">D12+D14</f>
        <v>30563.94780230138</v>
      </c>
      <c r="E15" s="11">
        <f t="shared" si="2"/>
        <v>30563.94780230138</v>
      </c>
      <c r="F15" s="11">
        <f t="shared" si="2"/>
        <v>30563.94780230138</v>
      </c>
      <c r="G15" s="11">
        <f t="shared" si="2"/>
        <v>30563.94780230138</v>
      </c>
      <c r="H15" s="11">
        <f t="shared" si="2"/>
        <v>30563.94780230138</v>
      </c>
      <c r="I15" s="11">
        <f t="shared" si="2"/>
        <v>30563.94780230138</v>
      </c>
    </row>
    <row r="16" spans="2:12" ht="14.25" customHeight="1" x14ac:dyDescent="0.35">
      <c r="B16" s="29" t="s">
        <v>575</v>
      </c>
      <c r="D16" s="22">
        <f>0</f>
        <v>0</v>
      </c>
      <c r="E16" s="30">
        <f>E14</f>
        <v>8435.2183557260287</v>
      </c>
      <c r="F16" s="30">
        <f>F14</f>
        <v>8435.2183557260287</v>
      </c>
      <c r="G16" s="30">
        <f>G14</f>
        <v>8435.2183557260287</v>
      </c>
      <c r="H16" s="30">
        <f>H14</f>
        <v>8435.2183557260287</v>
      </c>
      <c r="I16" s="30">
        <f>I14</f>
        <v>8435.2183557260287</v>
      </c>
    </row>
    <row r="18" spans="2:9" ht="14.25" customHeight="1" x14ac:dyDescent="0.35">
      <c r="B18" s="4" t="s">
        <v>576</v>
      </c>
      <c r="C18" s="2"/>
      <c r="D18" s="2"/>
      <c r="E18" s="2"/>
      <c r="F18" s="2"/>
      <c r="G18" s="2"/>
      <c r="H18" s="2"/>
      <c r="I18" s="2"/>
    </row>
    <row r="19" spans="2:9" ht="14.25" customHeight="1" x14ac:dyDescent="0.35">
      <c r="B19" s="10" t="s">
        <v>577</v>
      </c>
      <c r="D19" s="45">
        <f>-inv_total_y0</f>
        <v>-5.5</v>
      </c>
      <c r="E19" s="45">
        <f>0</f>
        <v>0</v>
      </c>
      <c r="F19" s="45">
        <f>0</f>
        <v>0</v>
      </c>
      <c r="G19" s="45">
        <f>0</f>
        <v>0</v>
      </c>
      <c r="H19" s="45">
        <f>0</f>
        <v>0</v>
      </c>
      <c r="I19" s="45">
        <f>0</f>
        <v>0</v>
      </c>
    </row>
    <row r="20" spans="2:9" ht="14.25" customHeight="1" x14ac:dyDescent="0.35">
      <c r="B20" s="10" t="s">
        <v>578</v>
      </c>
      <c r="D20" s="46">
        <f>0</f>
        <v>0</v>
      </c>
      <c r="E20" s="46">
        <f>-inv_ongoing_mkt*E7/card_base</f>
        <v>0</v>
      </c>
      <c r="F20" s="46">
        <f>-inv_ongoing_mkt*F7/card_base</f>
        <v>0</v>
      </c>
      <c r="G20" s="46">
        <f>-inv_ongoing_mkt*G7/card_base</f>
        <v>0</v>
      </c>
      <c r="H20" s="46">
        <f>-inv_ongoing_mkt*H7/card_base</f>
        <v>0</v>
      </c>
      <c r="I20" s="46">
        <f>-inv_ongoing_mkt*I7/card_base</f>
        <v>0</v>
      </c>
    </row>
    <row r="21" spans="2:9" ht="14.25" customHeight="1" x14ac:dyDescent="0.35">
      <c r="B21" s="10" t="s">
        <v>579</v>
      </c>
      <c r="D21" s="46">
        <f>0</f>
        <v>0</v>
      </c>
      <c r="E21" s="46">
        <f>-MAX(0,E9)*cac*4/5</f>
        <v>0</v>
      </c>
      <c r="F21" s="46">
        <f>-MAX(0,F9)*cac*4/5</f>
        <v>-1722368.0000004589</v>
      </c>
      <c r="G21" s="46">
        <f>-MAX(0,G9)*cac*4/5</f>
        <v>-61998150.656000771</v>
      </c>
      <c r="H21" s="46">
        <f>-MAX(0,H9)*cac*4/5</f>
        <v>-134132141.13075304</v>
      </c>
      <c r="I21" s="46">
        <f>-MAX(0,I9)*cac*4/5</f>
        <v>-219896225.03889155</v>
      </c>
    </row>
    <row r="22" spans="2:9" ht="14.25" customHeight="1" x14ac:dyDescent="0.35">
      <c r="B22" s="10" t="s">
        <v>580</v>
      </c>
      <c r="D22" s="45">
        <f>0</f>
        <v>0</v>
      </c>
      <c r="E22" s="45">
        <f>(E8*E16)/10000000</f>
        <v>36.440143296736437</v>
      </c>
      <c r="F22" s="45">
        <f>(F8*F16)/10000000</f>
        <v>39.35535476047535</v>
      </c>
      <c r="G22" s="45">
        <f>(G8*G16)/10000000</f>
        <v>42.50378314131337</v>
      </c>
      <c r="H22" s="45">
        <f>(H8*H16)/10000000</f>
        <v>45.904085792618432</v>
      </c>
      <c r="I22" s="45">
        <f>(I8*I16)/10000000</f>
        <v>49.576412656027898</v>
      </c>
    </row>
    <row r="23" spans="2:9" ht="14.25" customHeight="1" x14ac:dyDescent="0.35">
      <c r="B23" s="10" t="s">
        <v>581</v>
      </c>
      <c r="D23" s="45">
        <f>0</f>
        <v>0</v>
      </c>
      <c r="E23" s="45">
        <f>(E9*E15)/10000000</f>
        <v>-4.2382007619190958</v>
      </c>
      <c r="F23" s="45">
        <f>(F9*F15)/10000000</f>
        <v>0.15127116565623061</v>
      </c>
      <c r="G23" s="45">
        <f>(G9*G15)/10000000</f>
        <v>5.4451386220954729</v>
      </c>
      <c r="H23" s="45">
        <f>(H9*H15)/10000000</f>
        <v>11.780482069342694</v>
      </c>
      <c r="I23" s="45">
        <f>(I9*I15)/10000000</f>
        <v>19.312921678194826</v>
      </c>
    </row>
    <row r="24" spans="2:9" ht="14.25" customHeight="1" x14ac:dyDescent="0.35">
      <c r="B24" s="10" t="s">
        <v>582</v>
      </c>
      <c r="D24" s="45">
        <f>0</f>
        <v>0</v>
      </c>
      <c r="E24" s="47">
        <f>(E22*10000000+E23*10000000)/10000000</f>
        <v>32.201942534817341</v>
      </c>
      <c r="F24" s="47">
        <f>(F22*10000000+F23*10000000)/10000000</f>
        <v>39.506625926131584</v>
      </c>
      <c r="G24" s="47">
        <f>(G22*10000000+G23*10000000)/10000000</f>
        <v>47.94892176340884</v>
      </c>
      <c r="H24" s="47">
        <f>(H22*10000000+H23*10000000)/10000000</f>
        <v>57.684567861961128</v>
      </c>
      <c r="I24" s="47">
        <f>(I22*10000000+I23*10000000)/10000000</f>
        <v>68.889334334222724</v>
      </c>
    </row>
    <row r="25" spans="2:9" ht="14.25" customHeight="1" x14ac:dyDescent="0.35">
      <c r="B25" s="29" t="s">
        <v>583</v>
      </c>
      <c r="D25" s="44">
        <f t="shared" ref="D25:I25" si="3">(D19*10000000+D20*10000000+D24*10000000)/10000000</f>
        <v>-5.5</v>
      </c>
      <c r="E25" s="44">
        <f t="shared" si="3"/>
        <v>32.201942534817341</v>
      </c>
      <c r="F25" s="44">
        <f t="shared" si="3"/>
        <v>39.506625926131584</v>
      </c>
      <c r="G25" s="44">
        <f t="shared" si="3"/>
        <v>47.94892176340884</v>
      </c>
      <c r="H25" s="44">
        <f t="shared" si="3"/>
        <v>57.684567861961128</v>
      </c>
      <c r="I25" s="44">
        <f t="shared" si="3"/>
        <v>68.889334334222724</v>
      </c>
    </row>
    <row r="27" spans="2:9" ht="14.25" customHeight="1" x14ac:dyDescent="0.35">
      <c r="B27" s="4" t="s">
        <v>584</v>
      </c>
      <c r="C27" s="2"/>
      <c r="D27" s="2"/>
      <c r="E27" s="2"/>
      <c r="F27" s="2"/>
      <c r="G27" s="2"/>
      <c r="H27" s="2"/>
      <c r="I27" s="2"/>
    </row>
    <row r="28" spans="2:9" ht="14.25" customHeight="1" x14ac:dyDescent="0.35">
      <c r="B28" s="10" t="s">
        <v>585</v>
      </c>
      <c r="C28" s="3" t="s">
        <v>586</v>
      </c>
      <c r="D28" s="35">
        <f>1/(1+wacc)^0</f>
        <v>1</v>
      </c>
      <c r="E28" s="35">
        <f>1/(1+wacc)^1</f>
        <v>0.92336103416435833</v>
      </c>
      <c r="F28" s="35">
        <f>1/(1+wacc)^2</f>
        <v>0.85259559941307328</v>
      </c>
      <c r="G28" s="35">
        <f>1/(1+wacc)^3</f>
        <v>0.78725355439803635</v>
      </c>
      <c r="H28" s="35">
        <f>1/(1+wacc)^4</f>
        <v>0.72691925613853769</v>
      </c>
      <c r="I28" s="35">
        <f>1/(1+wacc)^5</f>
        <v>0.67120891610206623</v>
      </c>
    </row>
    <row r="29" spans="2:9" ht="14.25" customHeight="1" x14ac:dyDescent="0.35">
      <c r="B29" s="10" t="s">
        <v>587</v>
      </c>
      <c r="D29" s="44">
        <f t="shared" ref="D29:I29" si="4">(D25*10000000*D28)/10000000</f>
        <v>-5.5</v>
      </c>
      <c r="E29" s="44">
        <f t="shared" si="4"/>
        <v>29.734018961050182</v>
      </c>
      <c r="F29" s="44">
        <f t="shared" si="4"/>
        <v>33.683175412278217</v>
      </c>
      <c r="G29" s="44">
        <f t="shared" si="4"/>
        <v>37.747959087796971</v>
      </c>
      <c r="H29" s="44">
        <f t="shared" si="4"/>
        <v>41.932023160889777</v>
      </c>
      <c r="I29" s="44">
        <f t="shared" si="4"/>
        <v>46.239135429466494</v>
      </c>
    </row>
    <row r="31" spans="2:9" ht="14.25" customHeight="1" x14ac:dyDescent="0.35">
      <c r="B31" s="10" t="s">
        <v>588</v>
      </c>
      <c r="D31" s="47">
        <f>SUM(D29:I29)</f>
        <v>183.83631205148166</v>
      </c>
    </row>
    <row r="32" spans="2:9" ht="14.25" customHeight="1" x14ac:dyDescent="0.35">
      <c r="B32" s="10" t="s">
        <v>589</v>
      </c>
      <c r="D32" s="13">
        <f>IFERROR(IRR(D25:I25),"n/a — no sign change")</f>
        <v>6.0782675872467342</v>
      </c>
    </row>
    <row r="33" spans="2:9" ht="14.25" customHeight="1" x14ac:dyDescent="0.35">
      <c r="B33" s="10" t="s">
        <v>590</v>
      </c>
      <c r="D33" s="47">
        <f>SUM(D25:I25)</f>
        <v>240.73139242054162</v>
      </c>
    </row>
    <row r="34" spans="2:9" ht="14.25" customHeight="1" x14ac:dyDescent="0.35">
      <c r="B34" s="10" t="s">
        <v>591</v>
      </c>
      <c r="D34" s="32">
        <f>IF(D33&lt;=0,"n/a — value destructive",D33/(-D19))</f>
        <v>43.769344076462112</v>
      </c>
    </row>
    <row r="36" spans="2:9" ht="14.25" customHeight="1" x14ac:dyDescent="0.35">
      <c r="B36" s="4" t="s">
        <v>592</v>
      </c>
      <c r="C36" s="2"/>
      <c r="D36" s="2"/>
      <c r="E36" s="2"/>
      <c r="F36" s="2"/>
      <c r="G36" s="2"/>
      <c r="H36" s="2"/>
      <c r="I36" s="2"/>
    </row>
    <row r="37" spans="2:9" ht="14.25" customHeight="1" x14ac:dyDescent="0.35">
      <c r="B37" s="10" t="s">
        <v>593</v>
      </c>
      <c r="D37" s="47">
        <f>D25</f>
        <v>-5.5</v>
      </c>
      <c r="E37" s="47">
        <f>SUM($D$25:E$25)</f>
        <v>26.701942534817341</v>
      </c>
      <c r="F37" s="47">
        <f>SUM($D$25:F$25)</f>
        <v>66.208568460948925</v>
      </c>
      <c r="G37" s="47">
        <f>SUM($D$25:G$25)</f>
        <v>114.15749022435776</v>
      </c>
      <c r="H37" s="47">
        <f>SUM($D$25:H$25)</f>
        <v>171.8420580863189</v>
      </c>
      <c r="I37" s="47">
        <f>SUM($D$25:I$25)</f>
        <v>240.73139242054162</v>
      </c>
    </row>
    <row r="38" spans="2:9" ht="14.25" customHeight="1" x14ac:dyDescent="0.35">
      <c r="B38" s="10" t="s">
        <v>594</v>
      </c>
      <c r="D38" s="10" t="str">
        <f>IF(COUNTIF(D37:I37,"&gt;=0")=0,"not achieved within 5 years","Y"&amp;(MATCH(TRUE(),INDEX(D37:I37&gt;=0,0),0)-1))</f>
        <v>Y1</v>
      </c>
    </row>
    <row r="40" spans="2:9" ht="14.25" customHeight="1" x14ac:dyDescent="0.35">
      <c r="B40" s="4" t="s">
        <v>595</v>
      </c>
      <c r="C40" s="2"/>
      <c r="D40" s="2"/>
      <c r="E40" s="2"/>
      <c r="F40" s="2"/>
      <c r="G40" s="2"/>
      <c r="H40" s="2"/>
      <c r="I40" s="2"/>
    </row>
    <row r="41" spans="2:9" ht="14.25" customHeight="1" x14ac:dyDescent="0.35">
      <c r="B41" s="5" t="s">
        <v>596</v>
      </c>
      <c r="D41" s="48">
        <f>(1-(1+wacc)^-5)/wacc</f>
        <v>3.9613383602160694</v>
      </c>
    </row>
    <row r="42" spans="2:9" ht="14.25" customHeight="1" x14ac:dyDescent="0.35">
      <c r="B42" s="5" t="s">
        <v>597</v>
      </c>
      <c r="D42" s="22">
        <f>AVERAGE(E8:I8)</f>
        <v>50687.432294399972</v>
      </c>
    </row>
    <row r="43" spans="2:9" ht="14.25" customHeight="1" x14ac:dyDescent="0.35">
      <c r="B43" s="10" t="s">
        <v>598</v>
      </c>
      <c r="D43" s="11">
        <f>(inv_total_y0*10000000)/(D42*D41)</f>
        <v>273.91792840921323</v>
      </c>
    </row>
    <row r="44" spans="2:9" ht="14.25" customHeight="1" x14ac:dyDescent="0.35">
      <c r="B44" s="10" t="s">
        <v>599</v>
      </c>
      <c r="D44" s="11">
        <f>D14</f>
        <v>8435.2183557260287</v>
      </c>
    </row>
    <row r="45" spans="2:9" ht="14.25" customHeight="1" x14ac:dyDescent="0.35">
      <c r="B45" s="10" t="s">
        <v>600</v>
      </c>
      <c r="D45" s="11">
        <f>D43-D14</f>
        <v>-8161.3004273168153</v>
      </c>
    </row>
    <row r="47" spans="2:9" ht="14.25" customHeight="1" x14ac:dyDescent="0.35">
      <c r="B47" s="4" t="s">
        <v>601</v>
      </c>
      <c r="C47" s="2"/>
      <c r="D47" s="2"/>
      <c r="E47" s="2"/>
      <c r="F47" s="2"/>
      <c r="G47" s="2"/>
      <c r="H47" s="2"/>
      <c r="I47" s="2"/>
    </row>
    <row r="48" spans="2:9" ht="14.25" customHeight="1" x14ac:dyDescent="0.35">
      <c r="B48" s="5" t="s">
        <v>602</v>
      </c>
      <c r="D48" s="22">
        <f>D5</f>
        <v>40000</v>
      </c>
    </row>
    <row r="49" spans="2:9" ht="14.25" customHeight="1" x14ac:dyDescent="0.35">
      <c r="B49" s="5" t="s">
        <v>603</v>
      </c>
      <c r="D49" s="22">
        <f>I7</f>
        <v>65091.98011334741</v>
      </c>
    </row>
    <row r="50" spans="2:9" ht="14.25" customHeight="1" x14ac:dyDescent="0.35">
      <c r="B50" s="5" t="s">
        <v>604</v>
      </c>
      <c r="D50" s="22">
        <f>I8</f>
        <v>58773.123071999951</v>
      </c>
    </row>
    <row r="51" spans="2:9" ht="14.25" customHeight="1" x14ac:dyDescent="0.35">
      <c r="B51" s="5" t="s">
        <v>605</v>
      </c>
      <c r="D51" s="45">
        <f>D31</f>
        <v>183.83631205148166</v>
      </c>
    </row>
    <row r="52" spans="2:9" ht="14.25" customHeight="1" x14ac:dyDescent="0.35">
      <c r="B52" s="5" t="s">
        <v>606</v>
      </c>
      <c r="D52" s="12">
        <f>D32</f>
        <v>6.0782675872467342</v>
      </c>
    </row>
    <row r="53" spans="2:9" ht="14.25" customHeight="1" x14ac:dyDescent="0.35">
      <c r="B53" s="5" t="s">
        <v>607</v>
      </c>
      <c r="D53" s="36">
        <f>D34</f>
        <v>43.769344076462112</v>
      </c>
    </row>
    <row r="54" spans="2:9" ht="14.25" customHeight="1" x14ac:dyDescent="0.35">
      <c r="B54" s="5" t="s">
        <v>594</v>
      </c>
      <c r="D54" s="5" t="str">
        <f>D38</f>
        <v>Y1</v>
      </c>
    </row>
    <row r="55" spans="2:9" ht="14.25" customHeight="1" x14ac:dyDescent="0.35">
      <c r="B55" s="5" t="s">
        <v>608</v>
      </c>
      <c r="D55" s="22">
        <f>D12</f>
        <v>22128.729446575351</v>
      </c>
    </row>
    <row r="56" spans="2:9" ht="14.25" customHeight="1" x14ac:dyDescent="0.35">
      <c r="B56" s="5" t="s">
        <v>609</v>
      </c>
      <c r="D56" s="22">
        <f>D15</f>
        <v>30563.94780230138</v>
      </c>
    </row>
    <row r="57" spans="2:9" ht="14.25" customHeight="1" x14ac:dyDescent="0.35">
      <c r="B57" s="5" t="s">
        <v>610</v>
      </c>
      <c r="D57" s="22">
        <f>E16</f>
        <v>8435.2183557260287</v>
      </c>
    </row>
    <row r="58" spans="2:9" ht="14.25" customHeight="1" x14ac:dyDescent="0.35">
      <c r="B58" s="5" t="s">
        <v>611</v>
      </c>
      <c r="D58" s="45">
        <f>(-D19)*10000000</f>
        <v>55000000</v>
      </c>
    </row>
    <row r="59" spans="2:9" ht="14.25" customHeight="1" x14ac:dyDescent="0.35">
      <c r="B59" s="5" t="s">
        <v>612</v>
      </c>
      <c r="D59" s="22">
        <f>D43</f>
        <v>273.91792840921323</v>
      </c>
    </row>
    <row r="60" spans="2:9" ht="14.25" customHeight="1" x14ac:dyDescent="0.35">
      <c r="B60" s="5" t="s">
        <v>613</v>
      </c>
      <c r="D60" s="22">
        <f>D45</f>
        <v>-8161.3004273168153</v>
      </c>
    </row>
    <row r="62" spans="2:9" ht="14.25" customHeight="1" x14ac:dyDescent="0.35">
      <c r="B62" s="4" t="s">
        <v>295</v>
      </c>
      <c r="C62" s="2"/>
      <c r="D62" s="2"/>
      <c r="E62" s="2"/>
      <c r="F62" s="2"/>
      <c r="G62" s="2"/>
      <c r="H62" s="2"/>
      <c r="I62" s="2"/>
    </row>
    <row r="63" spans="2:9" ht="14.25" customHeight="1" x14ac:dyDescent="0.35">
      <c r="B63" s="5" t="s">
        <v>614</v>
      </c>
      <c r="D63" s="10" t="str">
        <f>IF(ABS(E16-scen_contrib_delta)&lt;1,"PASS","FAIL")</f>
        <v>PASS</v>
      </c>
    </row>
    <row r="64" spans="2:9" ht="14.25" customHeight="1" x14ac:dyDescent="0.35">
      <c r="B64" s="5" t="s">
        <v>615</v>
      </c>
      <c r="D64" s="10" t="str">
        <f>IF(I7&gt;I8,"PASS","CHECK — redesign loses cards")</f>
        <v>PASS</v>
      </c>
    </row>
    <row r="65" spans="2:4" ht="14.25" customHeight="1" x14ac:dyDescent="0.35">
      <c r="B65" s="5" t="s">
        <v>616</v>
      </c>
      <c r="D65" s="10" t="str">
        <f>IF(ABS(D12-scen_contrib_pre)&lt;1,"PASS","FAIL")</f>
        <v>PASS</v>
      </c>
    </row>
    <row r="66" spans="2:4" ht="14.25" customHeight="1" x14ac:dyDescent="0.35">
      <c r="B66" s="5" t="s">
        <v>617</v>
      </c>
      <c r="D66" s="10" t="str">
        <f>IF(D31&gt;=0,"PASS","FAIL — raise l1_reclaim or cut Layer 3")</f>
        <v>PASS</v>
      </c>
    </row>
    <row r="67" spans="2:4" ht="14.25" customHeight="1" x14ac:dyDescent="0.35">
      <c r="B67" s="5" t="s">
        <v>618</v>
      </c>
      <c r="D67" s="10" t="str">
        <f>IF(inv_ongoing_mkt=0,"PASS","CHECK — is this spend already in Tab 2 row 32?")</f>
        <v>PASS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46"/>
  <sheetViews>
    <sheetView showGridLines="0" zoomScaleNormal="100" workbookViewId="0">
      <selection activeCell="F9" sqref="F9"/>
    </sheetView>
  </sheetViews>
  <sheetFormatPr defaultColWidth="8.6328125" defaultRowHeight="14.5" x14ac:dyDescent="0.35"/>
  <cols>
    <col min="2" max="2" width="50" customWidth="1"/>
    <col min="3" max="8" width="14" customWidth="1"/>
    <col min="9" max="9" width="20" customWidth="1"/>
  </cols>
  <sheetData>
    <row r="1" spans="2:10" ht="15.75" customHeight="1" x14ac:dyDescent="0.4">
      <c r="B1" s="1" t="s">
        <v>619</v>
      </c>
      <c r="C1" s="2"/>
      <c r="D1" s="3" t="s">
        <v>620</v>
      </c>
      <c r="E1" s="2"/>
      <c r="F1" s="2"/>
      <c r="G1" s="2"/>
      <c r="H1" s="2"/>
      <c r="I1" s="2"/>
      <c r="J1" s="2"/>
    </row>
    <row r="3" spans="2:10" ht="14.25" customHeight="1" x14ac:dyDescent="0.35">
      <c r="B3" s="4" t="s">
        <v>621</v>
      </c>
      <c r="C3" s="2"/>
      <c r="D3" s="2"/>
      <c r="E3" s="2"/>
      <c r="F3" s="2"/>
      <c r="G3" s="2"/>
      <c r="H3" s="2"/>
      <c r="I3" s="2"/>
    </row>
    <row r="4" spans="2:10" ht="14.25" customHeight="1" x14ac:dyDescent="0.35">
      <c r="B4" s="4" t="s">
        <v>622</v>
      </c>
      <c r="C4" s="4" t="s">
        <v>53</v>
      </c>
      <c r="D4" s="4" t="s">
        <v>623</v>
      </c>
      <c r="E4" s="4" t="s">
        <v>19</v>
      </c>
      <c r="F4" s="4" t="s">
        <v>248</v>
      </c>
      <c r="G4" s="4" t="s">
        <v>624</v>
      </c>
      <c r="H4" s="4" t="s">
        <v>625</v>
      </c>
      <c r="I4" s="5" t="s">
        <v>626</v>
      </c>
      <c r="J4" s="5" t="s">
        <v>627</v>
      </c>
    </row>
    <row r="5" spans="2:10" ht="14.25" customHeight="1" x14ac:dyDescent="0.35">
      <c r="B5" s="5" t="s">
        <v>628</v>
      </c>
      <c r="C5" s="3" t="s">
        <v>468</v>
      </c>
      <c r="D5" s="7">
        <f>-5%</f>
        <v>-0.05</v>
      </c>
      <c r="E5" s="9">
        <f>8%</f>
        <v>0.08</v>
      </c>
      <c r="F5" s="7">
        <f>15%</f>
        <v>0.15</v>
      </c>
      <c r="G5" s="9">
        <f t="shared" ref="G5:G10" si="0">ABS(J5-I5)</f>
        <v>9.5376627285333484</v>
      </c>
      <c r="H5" s="5">
        <f t="shared" ref="H5:H10" si="1">RANK(G5,$G$5:$G$10)</f>
        <v>3</v>
      </c>
      <c r="I5" s="5">
        <f>npv_base+(D5-scen_spend_uplift)*spend_base*0.0013*cards_y1*5*0.923/10000000</f>
        <v>177.63683127793499</v>
      </c>
      <c r="J5" s="5">
        <f>npv_base+(F5-scen_spend_uplift)*spend_base*0.0013*cards_y1*5*0.923/10000000</f>
        <v>187.17449400646834</v>
      </c>
    </row>
    <row r="6" spans="2:10" ht="14.25" customHeight="1" x14ac:dyDescent="0.35">
      <c r="B6" s="5" t="s">
        <v>482</v>
      </c>
      <c r="C6" s="3" t="s">
        <v>483</v>
      </c>
      <c r="D6" s="7">
        <f>8%</f>
        <v>0.08</v>
      </c>
      <c r="E6" s="9">
        <f>12%</f>
        <v>0.12</v>
      </c>
      <c r="F6" s="7">
        <f>15%</f>
        <v>0.15</v>
      </c>
      <c r="G6" s="9">
        <f t="shared" si="0"/>
        <v>21</v>
      </c>
      <c r="H6" s="5">
        <f t="shared" si="1"/>
        <v>1</v>
      </c>
      <c r="I6" s="5">
        <f>npv_base+(E6-D6)*100*3</f>
        <v>195.83631205148166</v>
      </c>
      <c r="J6" s="5">
        <f>npv_base-(F6-E6)*100*3</f>
        <v>174.83631205148166</v>
      </c>
    </row>
    <row r="7" spans="2:10" ht="14.25" customHeight="1" x14ac:dyDescent="0.35">
      <c r="B7" s="5" t="s">
        <v>629</v>
      </c>
      <c r="C7" s="3" t="s">
        <v>29</v>
      </c>
      <c r="D7" s="7">
        <f>10.3%</f>
        <v>0.10300000000000001</v>
      </c>
      <c r="E7" s="9">
        <f>8.3%</f>
        <v>8.3000000000000004E-2</v>
      </c>
      <c r="F7" s="7">
        <f>6.3%</f>
        <v>6.3E-2</v>
      </c>
      <c r="G7" s="9">
        <f t="shared" si="0"/>
        <v>19.897250395887198</v>
      </c>
      <c r="H7" s="5">
        <f t="shared" si="1"/>
        <v>2</v>
      </c>
      <c r="I7" s="5">
        <f>'5_ROI_NPV'!$D$19+(npv_base-'5_ROI_NPV'!$D$19)*((1-(1+D7)^-5)/D7)/((1-(1+E7)^-5)/E7)</f>
        <v>174.30452605572376</v>
      </c>
      <c r="J7" s="5">
        <f>'5_ROI_NPV'!$D$19+(npv_base-'5_ROI_NPV'!$D$19)*((1-(1+F7)^-5)/F7)/((1-(1+E7)^-5)/E7)</f>
        <v>194.20177645161095</v>
      </c>
    </row>
    <row r="8" spans="2:10" ht="14.25" customHeight="1" x14ac:dyDescent="0.35">
      <c r="B8" s="5" t="s">
        <v>535</v>
      </c>
      <c r="C8" s="3" t="s">
        <v>491</v>
      </c>
      <c r="D8" s="7">
        <f>85%</f>
        <v>0.85</v>
      </c>
      <c r="E8" s="9">
        <f>94%</f>
        <v>0.94</v>
      </c>
      <c r="F8" s="7">
        <f>97%</f>
        <v>0.97</v>
      </c>
      <c r="G8" s="9">
        <f t="shared" si="0"/>
        <v>3.5999999999999943</v>
      </c>
      <c r="H8" s="5">
        <f t="shared" si="1"/>
        <v>4</v>
      </c>
      <c r="I8" s="5">
        <f>npv_base-(E8-D8)*100*0.3</f>
        <v>181.13631205148167</v>
      </c>
      <c r="J8" s="5">
        <f>npv_base+(F8-E8)*100*0.3</f>
        <v>184.73631205148166</v>
      </c>
    </row>
    <row r="9" spans="2:10" ht="14.25" customHeight="1" x14ac:dyDescent="0.35">
      <c r="B9" s="5" t="s">
        <v>35</v>
      </c>
      <c r="C9" s="3" t="s">
        <v>36</v>
      </c>
      <c r="D9" s="5">
        <f>0.33</f>
        <v>0.33</v>
      </c>
      <c r="E9" s="10">
        <f>0.26</f>
        <v>0.26</v>
      </c>
      <c r="F9" s="5">
        <f>0.21</f>
        <v>0.21</v>
      </c>
      <c r="G9" s="47">
        <f t="shared" si="0"/>
        <v>0.51428571428573377</v>
      </c>
      <c r="H9" s="5">
        <f t="shared" si="1"/>
        <v>6</v>
      </c>
      <c r="I9" s="5">
        <f>npv_base-(D9-E9)*(0.3/0.07)</f>
        <v>183.53631205148164</v>
      </c>
      <c r="J9" s="5">
        <f>npv_base+(E9-F9)*(0.3/0.07)</f>
        <v>184.05059776576738</v>
      </c>
    </row>
    <row r="10" spans="2:10" ht="14.25" customHeight="1" x14ac:dyDescent="0.35">
      <c r="B10" s="5" t="s">
        <v>630</v>
      </c>
      <c r="C10" s="3" t="s">
        <v>475</v>
      </c>
      <c r="D10" s="7">
        <f>45%</f>
        <v>0.45</v>
      </c>
      <c r="E10" s="9">
        <f>60%</f>
        <v>0.6</v>
      </c>
      <c r="F10" s="7">
        <f>75%</f>
        <v>0.75</v>
      </c>
      <c r="G10" s="9">
        <f t="shared" si="0"/>
        <v>1.1999999999999886</v>
      </c>
      <c r="H10" s="5">
        <f t="shared" si="1"/>
        <v>5</v>
      </c>
      <c r="I10" s="5">
        <f>npv_base-(E10-D10)*100*0.04</f>
        <v>183.23631205148166</v>
      </c>
      <c r="J10" s="5">
        <f>npv_base+(F10-E10)*100*0.04</f>
        <v>184.43631205148165</v>
      </c>
    </row>
    <row r="11" spans="2:10" ht="14.25" customHeight="1" x14ac:dyDescent="0.35">
      <c r="B11" s="3" t="s">
        <v>631</v>
      </c>
    </row>
    <row r="13" spans="2:10" ht="14.25" customHeight="1" x14ac:dyDescent="0.35">
      <c r="B13" s="4" t="s">
        <v>632</v>
      </c>
      <c r="C13" s="2"/>
      <c r="D13" s="2"/>
      <c r="E13" s="2"/>
      <c r="F13" s="2"/>
      <c r="G13" s="2"/>
      <c r="H13" s="2"/>
      <c r="I13" s="2"/>
    </row>
    <row r="14" spans="2:10" ht="14.25" customHeight="1" x14ac:dyDescent="0.35">
      <c r="B14" s="4" t="s">
        <v>633</v>
      </c>
      <c r="C14" s="4" t="s">
        <v>53</v>
      </c>
      <c r="D14" s="4" t="s">
        <v>634</v>
      </c>
      <c r="E14" s="4" t="s">
        <v>635</v>
      </c>
      <c r="F14" s="4" t="s">
        <v>636</v>
      </c>
      <c r="G14" s="4" t="s">
        <v>637</v>
      </c>
      <c r="H14" s="4" t="s">
        <v>638</v>
      </c>
      <c r="I14" s="4" t="s">
        <v>639</v>
      </c>
    </row>
    <row r="15" spans="2:10" ht="14.25" customHeight="1" x14ac:dyDescent="0.35">
      <c r="B15" s="10" t="s">
        <v>640</v>
      </c>
      <c r="C15" s="3" t="s">
        <v>641</v>
      </c>
      <c r="D15" s="45">
        <f>npv_base+((50000-fee_annual)*cards_y1*5*0.923+(-0.05-scen_spend_uplift)*spend_base*0.0013*cards_y1*5*0.923)/10000000</f>
        <v>-169.70652872206497</v>
      </c>
      <c r="E15" s="45">
        <f>npv_base+((50000-fee_annual)*cards_y1*5*0.923+(0-scen_spend_uplift)*spend_base*0.0013*cards_y1*5*0.923)/10000000</f>
        <v>-167.32211303993168</v>
      </c>
      <c r="F15" s="45">
        <f>npv_base+((50000-fee_annual)*cards_y1*5*0.923+(0.05-scen_spend_uplift)*spend_base*0.0013*cards_y1*5*0.923)/10000000</f>
        <v>-164.93769735779838</v>
      </c>
      <c r="G15" s="45">
        <f>npv_base+((50000-fee_annual)*cards_y1*5*0.923+(0.08-scen_spend_uplift)*spend_base*0.0013*cards_y1*5*0.923)/10000000</f>
        <v>-163.50704794851836</v>
      </c>
      <c r="H15" s="45">
        <f>npv_base+((50000-fee_annual)*cards_y1*5*0.923+(0.12-scen_spend_uplift)*spend_base*0.0013*cards_y1*5*0.923)/10000000</f>
        <v>-161.5995154028117</v>
      </c>
      <c r="I15" s="45">
        <f>npv_base+((50000-fee_annual)*cards_y1*5*0.923+(0.15-scen_spend_uplift)*spend_base*0.0013*cards_y1*5*0.923)/10000000</f>
        <v>-160.16886599353168</v>
      </c>
    </row>
    <row r="16" spans="2:10" ht="14.25" customHeight="1" x14ac:dyDescent="0.35">
      <c r="B16" s="10" t="s">
        <v>642</v>
      </c>
      <c r="C16" s="3" t="s">
        <v>641</v>
      </c>
      <c r="D16" s="45">
        <f>npv_base+((55000-fee_annual)*cards_y1*5*0.923+(-0.05-scen_spend_uplift)*spend_base*0.0013*cards_y1*5*0.923)/10000000</f>
        <v>-73.222262055398375</v>
      </c>
      <c r="E16" s="45">
        <f>npv_base+((55000-fee_annual)*cards_y1*5*0.923+(0-scen_spend_uplift)*spend_base*0.0013*cards_y1*5*0.923)/10000000</f>
        <v>-70.837846373265108</v>
      </c>
      <c r="F16" s="45">
        <f>npv_base+((55000-fee_annual)*cards_y1*5*0.923+(0.05-scen_spend_uplift)*spend_base*0.0013*cards_y1*5*0.923)/10000000</f>
        <v>-68.453430691131757</v>
      </c>
      <c r="G16" s="45">
        <f>npv_base+((55000-fee_annual)*cards_y1*5*0.923+(0.08-scen_spend_uplift)*spend_base*0.0013*cards_y1*5*0.923)/10000000</f>
        <v>-67.022781281851735</v>
      </c>
      <c r="H16" s="45">
        <f>npv_base+((55000-fee_annual)*cards_y1*5*0.923+(0.12-scen_spend_uplift)*spend_base*0.0013*cards_y1*5*0.923)/10000000</f>
        <v>-65.115248736145077</v>
      </c>
      <c r="I16" s="45">
        <f>npv_base+((55000-fee_annual)*cards_y1*5*0.923+(0.15-scen_spend_uplift)*spend_base*0.0013*cards_y1*5*0.923)/10000000</f>
        <v>-63.684599326865083</v>
      </c>
    </row>
    <row r="17" spans="2:9" ht="14.25" customHeight="1" x14ac:dyDescent="0.35">
      <c r="B17" s="10" t="s">
        <v>643</v>
      </c>
      <c r="C17" s="3" t="s">
        <v>641</v>
      </c>
      <c r="D17" s="45">
        <f>npv_base+((60000-fee_annual)*cards_y1*5*0.923+(-0.05-scen_spend_uplift)*spend_base*0.0013*cards_y1*5*0.923)/10000000</f>
        <v>23.262004611268281</v>
      </c>
      <c r="E17" s="45">
        <f>npv_base+((60000-fee_annual)*cards_y1*5*0.923+(0-scen_spend_uplift)*spend_base*0.0013*cards_y1*5*0.923)/10000000</f>
        <v>25.646420293401633</v>
      </c>
      <c r="F17" s="45">
        <f>npv_base+((60000-fee_annual)*cards_y1*5*0.923+(0.05-scen_spend_uplift)*spend_base*0.0013*cards_y1*5*0.923)/10000000</f>
        <v>28.030835975534956</v>
      </c>
      <c r="G17" s="45">
        <f>npv_base+((60000-fee_annual)*cards_y1*5*0.923+(0.08-scen_spend_uplift)*spend_base*0.0013*cards_y1*5*0.923)/10000000</f>
        <v>29.461485384814949</v>
      </c>
      <c r="H17" s="45">
        <f>npv_base+((60000-fee_annual)*cards_y1*5*0.923+(0.12-scen_spend_uplift)*spend_base*0.0013*cards_y1*5*0.923)/10000000</f>
        <v>31.369017930521636</v>
      </c>
      <c r="I17" s="45">
        <f>npv_base+((60000-fee_annual)*cards_y1*5*0.923+(0.15-scen_spend_uplift)*spend_base*0.0013*cards_y1*5*0.923)/10000000</f>
        <v>32.79966733980163</v>
      </c>
    </row>
    <row r="18" spans="2:9" ht="14.25" customHeight="1" x14ac:dyDescent="0.35">
      <c r="B18" s="10" t="s">
        <v>644</v>
      </c>
      <c r="C18" s="3" t="s">
        <v>641</v>
      </c>
      <c r="D18" s="45">
        <f>npv_base+((66000-fee_annual)*cards_y1*5*0.923+(-0.05-scen_spend_uplift)*spend_base*0.0013*cards_y1*5*0.923)/10000000</f>
        <v>139.04312461126833</v>
      </c>
      <c r="E18" s="45">
        <f>npv_base+((66000-fee_annual)*cards_y1*5*0.923+(0-scen_spend_uplift)*spend_base*0.0013*cards_y1*5*0.923)/10000000</f>
        <v>141.42754029340165</v>
      </c>
      <c r="F18" s="45">
        <f>npv_base+((66000-fee_annual)*cards_y1*5*0.923+(0.05-scen_spend_uplift)*spend_base*0.0013*cards_y1*5*0.923)/10000000</f>
        <v>143.81195597553497</v>
      </c>
      <c r="G18" s="45">
        <f>npv_base+((66000-fee_annual)*cards_y1*5*0.923+(0.08-scen_spend_uplift)*spend_base*0.0013*cards_y1*5*0.923)/10000000</f>
        <v>145.24260538481496</v>
      </c>
      <c r="H18" s="45">
        <f>npv_base+((66000-fee_annual)*cards_y1*5*0.923+(0.12-scen_spend_uplift)*spend_base*0.0013*cards_y1*5*0.923)/10000000</f>
        <v>147.15013793052165</v>
      </c>
      <c r="I18" s="45">
        <f>npv_base+((66000-fee_annual)*cards_y1*5*0.923+(0.15-scen_spend_uplift)*spend_base*0.0013*cards_y1*5*0.923)/10000000</f>
        <v>148.58078733980165</v>
      </c>
    </row>
    <row r="19" spans="2:9" ht="14.25" customHeight="1" x14ac:dyDescent="0.35">
      <c r="B19" s="10" t="s">
        <v>645</v>
      </c>
      <c r="C19" s="3" t="s">
        <v>641</v>
      </c>
      <c r="D19" s="45">
        <f>npv_base+((70000-fee_annual)*cards_y1*5*0.923+(-0.05-scen_spend_uplift)*spend_base*0.0013*cards_y1*5*0.923)/10000000</f>
        <v>216.23053794460168</v>
      </c>
      <c r="E19" s="45">
        <f>npv_base+((70000-fee_annual)*cards_y1*5*0.923+(0-scen_spend_uplift)*spend_base*0.0013*cards_y1*5*0.923)/10000000</f>
        <v>218.614953626735</v>
      </c>
      <c r="F19" s="45">
        <f>npv_base+((70000-fee_annual)*cards_y1*5*0.923+(0.05-scen_spend_uplift)*spend_base*0.0013*cards_y1*5*0.923)/10000000</f>
        <v>220.99936930886832</v>
      </c>
      <c r="G19" s="45">
        <f>npv_base+((70000-fee_annual)*cards_y1*5*0.923+(0.08-scen_spend_uplift)*spend_base*0.0013*cards_y1*5*0.923)/10000000</f>
        <v>222.43001871814835</v>
      </c>
      <c r="H19" s="45">
        <f>npv_base+((70000-fee_annual)*cards_y1*5*0.923+(0.12-scen_spend_uplift)*spend_base*0.0013*cards_y1*5*0.923)/10000000</f>
        <v>224.337551263855</v>
      </c>
      <c r="I19" s="45">
        <f>npv_base+((70000-fee_annual)*cards_y1*5*0.923+(0.15-scen_spend_uplift)*spend_base*0.0013*cards_y1*5*0.923)/10000000</f>
        <v>225.768200673135</v>
      </c>
    </row>
    <row r="21" spans="2:9" ht="14.25" customHeight="1" x14ac:dyDescent="0.35">
      <c r="B21" s="4" t="s">
        <v>646</v>
      </c>
      <c r="C21" s="2"/>
      <c r="D21" s="2"/>
      <c r="E21" s="2"/>
      <c r="F21" s="2"/>
      <c r="G21" s="2"/>
      <c r="H21" s="2"/>
      <c r="I21" s="2"/>
    </row>
    <row r="22" spans="2:9" ht="14.25" customHeight="1" x14ac:dyDescent="0.35">
      <c r="B22" s="4" t="s">
        <v>647</v>
      </c>
      <c r="C22" s="4" t="s">
        <v>53</v>
      </c>
      <c r="D22" s="4" t="s">
        <v>648</v>
      </c>
      <c r="E22" s="4" t="s">
        <v>649</v>
      </c>
      <c r="F22" s="4" t="s">
        <v>650</v>
      </c>
      <c r="G22" s="4" t="s">
        <v>651</v>
      </c>
    </row>
    <row r="23" spans="2:9" ht="14.25" customHeight="1" x14ac:dyDescent="0.35">
      <c r="B23" s="10" t="s">
        <v>652</v>
      </c>
      <c r="C23" s="3" t="s">
        <v>653</v>
      </c>
      <c r="D23" s="22">
        <f>l2_cost+l3_cost*0.45/0.6*(1-0.3)/0.61</f>
        <v>12550.450819672133</v>
      </c>
      <c r="E23" s="22">
        <f>l2_cost+l3_cost*0.45/0.6*(1-0.35)/0.61</f>
        <v>11977.561475409839</v>
      </c>
      <c r="F23" s="22">
        <f>l2_cost+l3_cost*0.45/0.6*(1-0.4)/0.61</f>
        <v>11404.672131147541</v>
      </c>
      <c r="G23" s="22">
        <f>l2_cost+l3_cost*0.45/0.6*(1-0.5)/0.61</f>
        <v>10258.893442622952</v>
      </c>
    </row>
    <row r="24" spans="2:9" ht="14.25" customHeight="1" x14ac:dyDescent="0.35">
      <c r="B24" s="10" t="s">
        <v>651</v>
      </c>
      <c r="C24" s="3" t="s">
        <v>653</v>
      </c>
      <c r="D24" s="22">
        <f>l2_cost+l3_cost*0.5/0.6*(1-0.3)/0.61</f>
        <v>13441.612021857924</v>
      </c>
      <c r="E24" s="22">
        <f>l2_cost+l3_cost*0.5/0.6*(1-0.35)/0.61</f>
        <v>12805.06830601093</v>
      </c>
      <c r="F24" s="22">
        <f>l2_cost+l3_cost*0.5/0.6*(1-0.4)/0.61</f>
        <v>12168.524590163935</v>
      </c>
      <c r="G24" s="22">
        <f>l2_cost+l3_cost*0.5/0.6*(1-0.5)/0.61</f>
        <v>10895.437158469946</v>
      </c>
    </row>
    <row r="25" spans="2:9" ht="14.25" customHeight="1" x14ac:dyDescent="0.35">
      <c r="B25" s="10" t="s">
        <v>654</v>
      </c>
      <c r="C25" s="3" t="s">
        <v>653</v>
      </c>
      <c r="D25" s="22">
        <f>l2_cost+l3_cost*0.6/0.6*(1-0.3)/0.61</f>
        <v>15223.934426229507</v>
      </c>
      <c r="E25" s="22">
        <f>l2_cost+l3_cost*0.6/0.6*(1-0.35)/0.61</f>
        <v>14460.081967213115</v>
      </c>
      <c r="F25" s="22">
        <f>l2_cost+l3_cost*0.6/0.6*(1-0.4)/0.61</f>
        <v>13696.22950819672</v>
      </c>
      <c r="G25" s="22">
        <f>l2_cost+l3_cost*0.6/0.6*(1-0.5)/0.61</f>
        <v>12168.524590163935</v>
      </c>
    </row>
    <row r="26" spans="2:9" ht="14.25" customHeight="1" x14ac:dyDescent="0.35">
      <c r="B26" s="10" t="s">
        <v>655</v>
      </c>
      <c r="C26" s="3" t="s">
        <v>653</v>
      </c>
      <c r="D26" s="22">
        <f>l2_cost+l3_cost*0.7/0.6*(1-0.3)/0.61</f>
        <v>17006.256830601091</v>
      </c>
      <c r="E26" s="22">
        <f>l2_cost+l3_cost*0.7/0.6*(1-0.35)/0.61</f>
        <v>16115.0956284153</v>
      </c>
      <c r="F26" s="22">
        <f>l2_cost+l3_cost*0.7/0.6*(1-0.4)/0.61</f>
        <v>15223.934426229507</v>
      </c>
      <c r="G26" s="22">
        <f>l2_cost+l3_cost*0.7/0.6*(1-0.5)/0.61</f>
        <v>13441.612021857924</v>
      </c>
    </row>
    <row r="27" spans="2:9" ht="14.25" customHeight="1" x14ac:dyDescent="0.35">
      <c r="B27" s="10" t="s">
        <v>656</v>
      </c>
      <c r="C27" s="3" t="s">
        <v>653</v>
      </c>
      <c r="D27" s="22">
        <f>l2_cost+l3_cost*0.8/0.6*(1-0.3)/0.61</f>
        <v>18788.579234972676</v>
      </c>
      <c r="E27" s="22">
        <f>l2_cost+l3_cost*0.8/0.6*(1-0.35)/0.61</f>
        <v>17770.109289617489</v>
      </c>
      <c r="F27" s="22">
        <f>l2_cost+l3_cost*0.8/0.6*(1-0.4)/0.61</f>
        <v>16751.639344262294</v>
      </c>
      <c r="G27" s="22">
        <f>l2_cost+l3_cost*0.8/0.6*(1-0.5)/0.61</f>
        <v>14714.699453551915</v>
      </c>
    </row>
    <row r="30" spans="2:9" ht="14.25" customHeight="1" x14ac:dyDescent="0.35">
      <c r="B30" s="4" t="s">
        <v>657</v>
      </c>
      <c r="C30" s="2"/>
      <c r="D30" s="2"/>
      <c r="E30" s="2"/>
      <c r="F30" s="2"/>
      <c r="G30" s="2"/>
      <c r="H30" s="2"/>
      <c r="I30" s="2"/>
    </row>
    <row r="31" spans="2:9" ht="14.25" customHeight="1" x14ac:dyDescent="0.35">
      <c r="B31" s="5" t="s">
        <v>658</v>
      </c>
    </row>
    <row r="32" spans="2:9" ht="14.25" customHeight="1" x14ac:dyDescent="0.35">
      <c r="B32" s="4" t="s">
        <v>659</v>
      </c>
      <c r="C32" s="4" t="s">
        <v>660</v>
      </c>
      <c r="D32" s="4" t="s">
        <v>661</v>
      </c>
      <c r="E32" s="4" t="s">
        <v>60</v>
      </c>
    </row>
    <row r="33" spans="2:9" ht="32.25" customHeight="1" x14ac:dyDescent="0.35">
      <c r="B33" s="5" t="s">
        <v>640</v>
      </c>
      <c r="C33" s="7">
        <f>scen_spend_uplift-(npv_base+(50000-fee_annual)*cards_y1*5*0.923)/(spend_base*0.0013*cards_y1*5*0.923)</f>
        <v>7.363615525158794</v>
      </c>
      <c r="D33" s="5" t="str">
        <f>IF(C33&lt;='4_Scenarios'!$F$5,"YES","MAYBE")</f>
        <v>MAYBE</v>
      </c>
      <c r="E33" s="17" t="s">
        <v>662</v>
      </c>
    </row>
    <row r="34" spans="2:9" ht="21.75" customHeight="1" x14ac:dyDescent="0.35">
      <c r="B34" s="5" t="s">
        <v>643</v>
      </c>
      <c r="C34" s="7">
        <f>scen_spend_uplift-(npv_base+(60000-fee_annual)*cards_y1*5*0.923)/(spend_base*0.0013*cards_y1*5*0.923)</f>
        <v>3.3171622414619542</v>
      </c>
      <c r="D34" s="5" t="str">
        <f>IF(C33&lt;='4_Scenarios'!$F$5,"YES","MAYBE")</f>
        <v>MAYBE</v>
      </c>
      <c r="E34" s="17" t="s">
        <v>663</v>
      </c>
    </row>
    <row r="35" spans="2:9" ht="21.75" customHeight="1" x14ac:dyDescent="0.35">
      <c r="B35" s="5" t="s">
        <v>644</v>
      </c>
      <c r="C35" s="7">
        <f>scen_spend_uplift-(npv_base+(66000-fee_annual)*cards_y1*5*0.923)/(spend_base*0.0013*cards_y1*5*0.923)</f>
        <v>0.88929027124384941</v>
      </c>
      <c r="D35" s="5" t="str">
        <f>IF(C33&lt;='4_Scenarios'!$F$5,"YES","MAYBE")</f>
        <v>MAYBE</v>
      </c>
      <c r="E35" s="17" t="s">
        <v>664</v>
      </c>
    </row>
    <row r="36" spans="2:9" ht="21.75" customHeight="1" x14ac:dyDescent="0.35">
      <c r="B36" s="5" t="s">
        <v>645</v>
      </c>
      <c r="C36" s="7">
        <f>scen_spend_uplift-(npv_base+(70000-fee_annual)*cards_y1*5*0.923)/(spend_base*0.0013*cards_y1*5*0.923)</f>
        <v>-0.72929104223488694</v>
      </c>
      <c r="D36" s="5" t="str">
        <f>IF(C33&lt;='4_Scenarios'!$F$5,"YES","MAYBE")</f>
        <v>MAYBE</v>
      </c>
      <c r="E36" s="17" t="s">
        <v>665</v>
      </c>
    </row>
    <row r="39" spans="2:9" ht="14.25" customHeight="1" x14ac:dyDescent="0.35">
      <c r="B39" s="4" t="s">
        <v>666</v>
      </c>
      <c r="C39" s="2"/>
      <c r="D39" s="2"/>
      <c r="E39" s="2"/>
      <c r="F39" s="2"/>
      <c r="G39" s="2"/>
      <c r="H39" s="2"/>
      <c r="I39" s="2"/>
    </row>
    <row r="40" spans="2:9" ht="14.25" customHeight="1" x14ac:dyDescent="0.35">
      <c r="B40" s="4" t="s">
        <v>667</v>
      </c>
      <c r="C40" s="4" t="s">
        <v>668</v>
      </c>
      <c r="D40" s="4" t="s">
        <v>669</v>
      </c>
      <c r="E40" s="4" t="s">
        <v>670</v>
      </c>
      <c r="F40" s="4" t="s">
        <v>19</v>
      </c>
    </row>
    <row r="41" spans="2:9" ht="61.5" customHeight="1" x14ac:dyDescent="0.35">
      <c r="B41" s="10" t="s">
        <v>671</v>
      </c>
      <c r="C41" s="17" t="s">
        <v>672</v>
      </c>
      <c r="D41" s="17" t="s">
        <v>673</v>
      </c>
      <c r="E41" s="17" t="s">
        <v>674</v>
      </c>
      <c r="F41" s="5" t="s">
        <v>675</v>
      </c>
    </row>
    <row r="42" spans="2:9" ht="47.25" customHeight="1" x14ac:dyDescent="0.35">
      <c r="B42" s="10" t="s">
        <v>671</v>
      </c>
      <c r="C42" s="17" t="s">
        <v>676</v>
      </c>
      <c r="D42" s="17" t="s">
        <v>677</v>
      </c>
      <c r="E42" s="17" t="s">
        <v>678</v>
      </c>
      <c r="F42" s="5" t="s">
        <v>679</v>
      </c>
    </row>
    <row r="43" spans="2:9" ht="61.5" customHeight="1" x14ac:dyDescent="0.35">
      <c r="B43" s="10" t="s">
        <v>680</v>
      </c>
      <c r="C43" s="17" t="s">
        <v>681</v>
      </c>
      <c r="D43" s="17" t="s">
        <v>682</v>
      </c>
      <c r="E43" s="17" t="s">
        <v>683</v>
      </c>
      <c r="F43" s="5" t="s">
        <v>684</v>
      </c>
    </row>
    <row r="44" spans="2:9" ht="47.25" customHeight="1" x14ac:dyDescent="0.35">
      <c r="B44" s="10" t="s">
        <v>680</v>
      </c>
      <c r="C44" s="17" t="s">
        <v>685</v>
      </c>
      <c r="D44" s="17" t="s">
        <v>686</v>
      </c>
      <c r="E44" s="17" t="s">
        <v>687</v>
      </c>
      <c r="F44" s="5" t="s">
        <v>688</v>
      </c>
    </row>
    <row r="45" spans="2:9" ht="47.25" customHeight="1" x14ac:dyDescent="0.35">
      <c r="B45" s="10" t="s">
        <v>680</v>
      </c>
      <c r="C45" s="17" t="s">
        <v>689</v>
      </c>
      <c r="D45" s="17" t="s">
        <v>690</v>
      </c>
      <c r="E45" s="17" t="s">
        <v>691</v>
      </c>
      <c r="F45" s="5" t="s">
        <v>692</v>
      </c>
    </row>
    <row r="46" spans="2:9" ht="47.25" customHeight="1" x14ac:dyDescent="0.35">
      <c r="B46" s="10" t="s">
        <v>693</v>
      </c>
      <c r="C46" s="17" t="s">
        <v>694</v>
      </c>
      <c r="D46" s="17" t="s">
        <v>695</v>
      </c>
      <c r="E46" s="17" t="s">
        <v>696</v>
      </c>
      <c r="F46" s="5" t="s">
        <v>697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D75"/>
  <sheetViews>
    <sheetView showGridLines="0" zoomScaleNormal="100" workbookViewId="0">
      <selection activeCell="C74" sqref="C74"/>
    </sheetView>
  </sheetViews>
  <sheetFormatPr defaultColWidth="8.6328125" defaultRowHeight="14.5" x14ac:dyDescent="0.35"/>
  <cols>
    <col min="2" max="2" width="70" customWidth="1"/>
    <col min="3" max="3" width="80" customWidth="1"/>
    <col min="4" max="4" width="4" customWidth="1"/>
  </cols>
  <sheetData>
    <row r="1" spans="2:4" ht="15.75" customHeight="1" x14ac:dyDescent="0.4">
      <c r="B1" s="1" t="s">
        <v>698</v>
      </c>
      <c r="C1" s="2"/>
      <c r="D1" s="3" t="s">
        <v>699</v>
      </c>
    </row>
    <row r="3" spans="2:4" ht="14.25" customHeight="1" x14ac:dyDescent="0.35">
      <c r="B3" s="4" t="s">
        <v>700</v>
      </c>
    </row>
    <row r="5" spans="2:4" ht="14.25" customHeight="1" x14ac:dyDescent="0.35">
      <c r="B5" s="5" t="s">
        <v>701</v>
      </c>
      <c r="C5" s="22">
        <f>card_base</f>
        <v>40000</v>
      </c>
    </row>
    <row r="6" spans="2:4" ht="14.25" customHeight="1" x14ac:dyDescent="0.35">
      <c r="B6" s="5" t="s">
        <v>702</v>
      </c>
      <c r="C6" s="22">
        <f>fee_baseline</f>
        <v>60000</v>
      </c>
    </row>
    <row r="7" spans="2:4" ht="14.25" customHeight="1" x14ac:dyDescent="0.35">
      <c r="B7" s="5" t="s">
        <v>703</v>
      </c>
      <c r="C7" s="22">
        <f>fee_annual</f>
        <v>68000</v>
      </c>
    </row>
    <row r="8" spans="2:4" ht="14.25" customHeight="1" x14ac:dyDescent="0.35">
      <c r="B8" s="5" t="s">
        <v>704</v>
      </c>
      <c r="C8" s="22">
        <f>fee_annual-fee_baseline</f>
        <v>8000</v>
      </c>
    </row>
    <row r="9" spans="2:4" ht="14.25" customHeight="1" x14ac:dyDescent="0.35">
      <c r="B9" s="5" t="s">
        <v>705</v>
      </c>
      <c r="C9" s="22">
        <f>spend_base</f>
        <v>1901000</v>
      </c>
    </row>
    <row r="11" spans="2:4" ht="14.25" customHeight="1" x14ac:dyDescent="0.35">
      <c r="B11" s="4" t="s">
        <v>706</v>
      </c>
    </row>
    <row r="13" spans="2:4" ht="14.25" customHeight="1" x14ac:dyDescent="0.35">
      <c r="B13" s="5" t="s">
        <v>707</v>
      </c>
      <c r="C13" s="22">
        <f>l1_cost_retained</f>
        <v>38900</v>
      </c>
    </row>
    <row r="14" spans="2:4" ht="14.25" customHeight="1" x14ac:dyDescent="0.35">
      <c r="B14" s="5" t="s">
        <v>708</v>
      </c>
      <c r="C14" s="22">
        <f>l2_cost</f>
        <v>4530</v>
      </c>
    </row>
    <row r="15" spans="2:4" ht="14.25" customHeight="1" x14ac:dyDescent="0.35">
      <c r="B15" s="5" t="s">
        <v>709</v>
      </c>
      <c r="C15" s="22">
        <f>l3_cost</f>
        <v>9319</v>
      </c>
    </row>
    <row r="16" spans="2:4" ht="14.25" customHeight="1" x14ac:dyDescent="0.35">
      <c r="B16" s="5" t="s">
        <v>710</v>
      </c>
      <c r="C16" s="22">
        <f>new_benefit_cost</f>
        <v>13849</v>
      </c>
    </row>
    <row r="17" spans="2:3" ht="14.25" customHeight="1" x14ac:dyDescent="0.35">
      <c r="B17" s="5" t="s">
        <v>711</v>
      </c>
      <c r="C17" s="22">
        <f>benefit_headroom</f>
        <v>6151</v>
      </c>
    </row>
    <row r="18" spans="2:3" ht="14.25" customHeight="1" x14ac:dyDescent="0.35">
      <c r="B18" s="5" t="s">
        <v>712</v>
      </c>
      <c r="C18" s="22">
        <f>new_benefit_face</f>
        <v>53200</v>
      </c>
    </row>
    <row r="19" spans="2:3" ht="14.25" customHeight="1" x14ac:dyDescent="0.35">
      <c r="B19" s="5" t="s">
        <v>713</v>
      </c>
      <c r="C19" s="36">
        <f>benefit_leverage</f>
        <v>3.8414325944111489</v>
      </c>
    </row>
    <row r="21" spans="2:3" ht="14.25" customHeight="1" x14ac:dyDescent="0.35">
      <c r="B21" s="4" t="s">
        <v>714</v>
      </c>
    </row>
    <row r="23" spans="2:3" ht="14.25" customHeight="1" x14ac:dyDescent="0.35">
      <c r="B23" s="5" t="s">
        <v>715</v>
      </c>
      <c r="C23" s="45">
        <f>invest_y0</f>
        <v>55000000</v>
      </c>
    </row>
    <row r="24" spans="2:3" ht="14.25" customHeight="1" x14ac:dyDescent="0.35">
      <c r="B24" s="5" t="s">
        <v>716</v>
      </c>
      <c r="C24" s="22">
        <f>cards_y0</f>
        <v>40000</v>
      </c>
    </row>
    <row r="25" spans="2:3" ht="14.25" customHeight="1" x14ac:dyDescent="0.35">
      <c r="B25" s="5" t="s">
        <v>717</v>
      </c>
      <c r="C25" s="22">
        <f>cards_y5</f>
        <v>65091.98011334741</v>
      </c>
    </row>
    <row r="26" spans="2:3" ht="14.25" customHeight="1" x14ac:dyDescent="0.35">
      <c r="B26" s="5" t="s">
        <v>718</v>
      </c>
      <c r="C26" s="22">
        <f>cards_y5_cf</f>
        <v>58773.123071999951</v>
      </c>
    </row>
    <row r="27" spans="2:3" ht="14.25" customHeight="1" x14ac:dyDescent="0.35">
      <c r="B27" s="5" t="s">
        <v>719</v>
      </c>
      <c r="C27" s="22">
        <f>contrib_pre</f>
        <v>22128.729446575351</v>
      </c>
    </row>
    <row r="28" spans="2:3" ht="14.25" customHeight="1" x14ac:dyDescent="0.35">
      <c r="B28" s="5" t="s">
        <v>720</v>
      </c>
      <c r="C28" s="22">
        <f>fee_annual-fee_baseline</f>
        <v>8000</v>
      </c>
    </row>
    <row r="29" spans="2:3" ht="14.25" customHeight="1" x14ac:dyDescent="0.35">
      <c r="B29" s="5" t="s">
        <v>721</v>
      </c>
      <c r="C29" s="22">
        <f>contrib_incr</f>
        <v>8435.2183557260287</v>
      </c>
    </row>
    <row r="30" spans="2:3" ht="14.25" customHeight="1" x14ac:dyDescent="0.35">
      <c r="B30" s="5" t="s">
        <v>722</v>
      </c>
      <c r="C30" s="45">
        <f>'5_ROI_NPV'!D33</f>
        <v>240.73139242054162</v>
      </c>
    </row>
    <row r="32" spans="2:3" ht="14.25" customHeight="1" x14ac:dyDescent="0.35">
      <c r="B32" s="4" t="s">
        <v>723</v>
      </c>
    </row>
    <row r="34" spans="2:3" ht="14.25" customHeight="1" x14ac:dyDescent="0.35">
      <c r="B34" s="10" t="s">
        <v>724</v>
      </c>
      <c r="C34" s="47">
        <f>npv_base</f>
        <v>183.83631205148166</v>
      </c>
    </row>
    <row r="35" spans="2:3" ht="14.25" customHeight="1" x14ac:dyDescent="0.35">
      <c r="B35" s="10" t="s">
        <v>725</v>
      </c>
      <c r="C35" s="13">
        <f>irr_base</f>
        <v>6.0782675872467342</v>
      </c>
    </row>
    <row r="36" spans="2:3" ht="14.25" customHeight="1" x14ac:dyDescent="0.35">
      <c r="B36" s="10" t="s">
        <v>607</v>
      </c>
      <c r="C36" s="32">
        <f>mult_base</f>
        <v>43.769344076462112</v>
      </c>
    </row>
    <row r="37" spans="2:3" ht="14.25" customHeight="1" x14ac:dyDescent="0.35">
      <c r="B37" s="10" t="s">
        <v>726</v>
      </c>
      <c r="C37" s="10" t="str">
        <f>payback_base</f>
        <v>Y1</v>
      </c>
    </row>
    <row r="38" spans="2:3" ht="14.25" customHeight="1" x14ac:dyDescent="0.35">
      <c r="B38" s="5" t="s">
        <v>727</v>
      </c>
      <c r="C38" s="22">
        <f>delta_breakeven</f>
        <v>273.91792840921323</v>
      </c>
    </row>
    <row r="39" spans="2:3" ht="14.25" customHeight="1" x14ac:dyDescent="0.35">
      <c r="B39" s="5" t="s">
        <v>728</v>
      </c>
      <c r="C39" s="22">
        <f>delta_gap</f>
        <v>-8161.3004273168153</v>
      </c>
    </row>
    <row r="41" spans="2:3" ht="14.25" customHeight="1" x14ac:dyDescent="0.35">
      <c r="B41" s="4" t="s">
        <v>729</v>
      </c>
    </row>
    <row r="43" spans="2:3" ht="33" customHeight="1" x14ac:dyDescent="0.35">
      <c r="B43" s="5" t="s">
        <v>730</v>
      </c>
      <c r="C43" s="17" t="s">
        <v>731</v>
      </c>
    </row>
    <row r="44" spans="2:3" ht="33" customHeight="1" x14ac:dyDescent="0.35">
      <c r="B44" s="5" t="s">
        <v>732</v>
      </c>
      <c r="C44" s="17" t="s">
        <v>733</v>
      </c>
    </row>
    <row r="45" spans="2:3" ht="18" customHeight="1" x14ac:dyDescent="0.35">
      <c r="B45" s="5" t="s">
        <v>734</v>
      </c>
      <c r="C45" s="17" t="s">
        <v>735</v>
      </c>
    </row>
    <row r="46" spans="2:3" ht="33" customHeight="1" x14ac:dyDescent="0.35">
      <c r="B46" s="5" t="s">
        <v>736</v>
      </c>
      <c r="C46" s="17" t="s">
        <v>737</v>
      </c>
    </row>
    <row r="47" spans="2:3" ht="18" customHeight="1" x14ac:dyDescent="0.35">
      <c r="B47" s="5" t="s">
        <v>738</v>
      </c>
      <c r="C47" s="17" t="s">
        <v>739</v>
      </c>
    </row>
    <row r="49" spans="2:3" ht="14.25" customHeight="1" x14ac:dyDescent="0.35">
      <c r="B49" s="4" t="s">
        <v>740</v>
      </c>
    </row>
    <row r="51" spans="2:3" ht="14.25" customHeight="1" x14ac:dyDescent="0.35">
      <c r="B51" s="5" t="s">
        <v>741</v>
      </c>
      <c r="C51" s="7">
        <f>scen_spend_uplift</f>
        <v>0.08</v>
      </c>
    </row>
    <row r="52" spans="2:3" ht="14.25" customHeight="1" x14ac:dyDescent="0.35">
      <c r="B52" s="5" t="s">
        <v>482</v>
      </c>
      <c r="C52" s="7">
        <f>scen_attrition</f>
        <v>0.09</v>
      </c>
    </row>
    <row r="53" spans="2:3" ht="14.25" customHeight="1" x14ac:dyDescent="0.35">
      <c r="B53" s="5" t="s">
        <v>486</v>
      </c>
      <c r="C53" s="7">
        <f>scen_acq_uplift</f>
        <v>0.15</v>
      </c>
    </row>
    <row r="54" spans="2:3" ht="14.25" customHeight="1" x14ac:dyDescent="0.35">
      <c r="B54" s="5" t="s">
        <v>490</v>
      </c>
      <c r="C54" s="7">
        <f>scen_fee_acceptance</f>
        <v>0.92833333333333334</v>
      </c>
    </row>
    <row r="55" spans="2:3" ht="14.25" customHeight="1" x14ac:dyDescent="0.35">
      <c r="B55" s="5" t="s">
        <v>35</v>
      </c>
      <c r="C55" s="22">
        <f>mr_cpp</f>
        <v>0.26</v>
      </c>
    </row>
    <row r="56" spans="2:3" ht="14.25" customHeight="1" x14ac:dyDescent="0.35">
      <c r="B56" s="5" t="s">
        <v>742</v>
      </c>
      <c r="C56" s="7">
        <f>wacc</f>
        <v>8.3000000000000004E-2</v>
      </c>
    </row>
    <row r="59" spans="2:3" ht="14.25" customHeight="1" x14ac:dyDescent="0.35">
      <c r="B59" s="4" t="s">
        <v>743</v>
      </c>
    </row>
    <row r="61" spans="2:3" ht="18" customHeight="1" x14ac:dyDescent="0.35">
      <c r="B61" s="17" t="s">
        <v>744</v>
      </c>
    </row>
    <row r="62" spans="2:3" ht="18" customHeight="1" x14ac:dyDescent="0.35">
      <c r="B62" s="17" t="s">
        <v>745</v>
      </c>
    </row>
    <row r="63" spans="2:3" ht="33" customHeight="1" x14ac:dyDescent="0.35">
      <c r="B63" s="17" t="s">
        <v>746</v>
      </c>
    </row>
    <row r="64" spans="2:3" ht="18" customHeight="1" x14ac:dyDescent="0.35">
      <c r="B64" s="17" t="s">
        <v>747</v>
      </c>
    </row>
    <row r="65" spans="2:3" ht="18" customHeight="1" x14ac:dyDescent="0.35">
      <c r="B65" s="17" t="s">
        <v>748</v>
      </c>
    </row>
    <row r="66" spans="2:3" ht="18" customHeight="1" x14ac:dyDescent="0.35">
      <c r="B66" s="17" t="s">
        <v>749</v>
      </c>
    </row>
    <row r="69" spans="2:3" ht="14.25" customHeight="1" x14ac:dyDescent="0.35">
      <c r="B69" s="4" t="s">
        <v>750</v>
      </c>
    </row>
    <row r="71" spans="2:3" ht="18" customHeight="1" x14ac:dyDescent="0.35">
      <c r="B71" s="5" t="s">
        <v>751</v>
      </c>
      <c r="C71" s="17" t="s">
        <v>752</v>
      </c>
    </row>
    <row r="72" spans="2:3" ht="33" customHeight="1" x14ac:dyDescent="0.35">
      <c r="B72" s="5" t="s">
        <v>753</v>
      </c>
      <c r="C72" s="17" t="s">
        <v>754</v>
      </c>
    </row>
    <row r="73" spans="2:3" ht="33" customHeight="1" x14ac:dyDescent="0.35">
      <c r="B73" s="5" t="s">
        <v>755</v>
      </c>
      <c r="C73" s="17" t="str">
        <f>"NPV ₹"&amp;ROUND(npv_base,0)&amp;" Cr, IRR "&amp;ROUND(irr_base*100,2)&amp;"%, payback within Year 1 — driven by fee pricing power + attrition control."</f>
        <v>NPV ₹184 Cr, IRR 607.83%, payback within Year 1 — driven by fee pricing power + attrition control.</v>
      </c>
    </row>
    <row r="74" spans="2:3" ht="33" customHeight="1" x14ac:dyDescent="0.35">
      <c r="B74" s="5" t="s">
        <v>756</v>
      </c>
      <c r="C74" s="17" t="s">
        <v>757</v>
      </c>
    </row>
    <row r="75" spans="2:3" ht="18" customHeight="1" x14ac:dyDescent="0.35">
      <c r="B75" s="5" t="s">
        <v>758</v>
      </c>
      <c r="C75" s="17" t="s">
        <v>759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108</vt:i4>
      </vt:variant>
    </vt:vector>
  </HeadingPairs>
  <TitlesOfParts>
    <vt:vector size="116" baseType="lpstr">
      <vt:lpstr>1_Assumptions</vt:lpstr>
      <vt:lpstr>2_Baseline_PnL</vt:lpstr>
      <vt:lpstr>3_Benefit</vt:lpstr>
      <vt:lpstr>3B_Reallocation</vt:lpstr>
      <vt:lpstr>4_Scenarios</vt:lpstr>
      <vt:lpstr>5_ROI_NPV</vt:lpstr>
      <vt:lpstr>6_Sensitivity</vt:lpstr>
      <vt:lpstr>7_Output_Summary</vt:lpstr>
      <vt:lpstr>acc_base</vt:lpstr>
      <vt:lpstr>acc_elasticity</vt:lpstr>
      <vt:lpstr>acq_rate_base</vt:lpstr>
      <vt:lpstr>assume_accept</vt:lpstr>
      <vt:lpstr>assume_acq</vt:lpstr>
      <vt:lpstr>assume_attr</vt:lpstr>
      <vt:lpstr>assume_mr</vt:lpstr>
      <vt:lpstr>assume_spend</vt:lpstr>
      <vt:lpstr>assume_wacc</vt:lpstr>
      <vt:lpstr>attain_baseline</vt:lpstr>
      <vt:lpstr>attrition</vt:lpstr>
      <vt:lpstr>benefit_cost_total</vt:lpstr>
      <vt:lpstr>benefit_face_summary</vt:lpstr>
      <vt:lpstr>benefit_headroom</vt:lpstr>
      <vt:lpstr>benefit_headroom_summary</vt:lpstr>
      <vt:lpstr>benefit_leverage</vt:lpstr>
      <vt:lpstr>benefit_leverage_summary</vt:lpstr>
      <vt:lpstr>bizdev_rate</vt:lpstr>
      <vt:lpstr>bonus_renewal</vt:lpstr>
      <vt:lpstr>bonus_welcome</vt:lpstr>
      <vt:lpstr>breakeven_summary</vt:lpstr>
      <vt:lpstr>cac</vt:lpstr>
      <vt:lpstr>cac_life</vt:lpstr>
      <vt:lpstr>card_base</vt:lpstr>
      <vt:lpstr>cards</vt:lpstr>
      <vt:lpstr>cards_incr_y1</vt:lpstr>
      <vt:lpstr>cards_y0</vt:lpstr>
      <vt:lpstr>cards_y0_out</vt:lpstr>
      <vt:lpstr>cards_y1</vt:lpstr>
      <vt:lpstr>cards_y5</vt:lpstr>
      <vt:lpstr>cards_y5_cf</vt:lpstr>
      <vt:lpstr>cards_y5_cf_out</vt:lpstr>
      <vt:lpstr>cards_y5_out</vt:lpstr>
      <vt:lpstr>cl_rate</vt:lpstr>
      <vt:lpstr>cms_rate</vt:lpstr>
      <vt:lpstr>contrib_incr</vt:lpstr>
      <vt:lpstr>contrib_post</vt:lpstr>
      <vt:lpstr>contrib_pre</vt:lpstr>
      <vt:lpstr>contrib_pre_summary</vt:lpstr>
      <vt:lpstr>cost_ceiling</vt:lpstr>
      <vt:lpstr>delta_breakeven</vt:lpstr>
      <vt:lpstr>delta_gap</vt:lpstr>
      <vt:lpstr>disc_rate</vt:lpstr>
      <vt:lpstr>discount_rate_cof</vt:lpstr>
      <vt:lpstr>emi_margin_net</vt:lpstr>
      <vt:lpstr>emi_penetration</vt:lpstr>
      <vt:lpstr>fcf_cumul_summary</vt:lpstr>
      <vt:lpstr>fcf_percard_summary</vt:lpstr>
      <vt:lpstr>fee_annual</vt:lpstr>
      <vt:lpstr>fee_baseline</vt:lpstr>
      <vt:lpstr>fee_delta</vt:lpstr>
      <vt:lpstr>fee_gain_summary</vt:lpstr>
      <vt:lpstr>fee_gross</vt:lpstr>
      <vt:lpstr>fee_post</vt:lpstr>
      <vt:lpstr>fee_pre</vt:lpstr>
      <vt:lpstr>float_days</vt:lpstr>
      <vt:lpstr>fraud_rate</vt:lpstr>
      <vt:lpstr>fx_markup</vt:lpstr>
      <vt:lpstr>gap_summary</vt:lpstr>
      <vt:lpstr>gst_rate</vt:lpstr>
      <vt:lpstr>inv_app_build</vt:lpstr>
      <vt:lpstr>inv_launch_mkt</vt:lpstr>
      <vt:lpstr>inv_ongoing_mkt</vt:lpstr>
      <vt:lpstr>inv_total_y0</vt:lpstr>
      <vt:lpstr>inv_y0_summary</vt:lpstr>
      <vt:lpstr>invest_y0</vt:lpstr>
      <vt:lpstr>irr_base</vt:lpstr>
      <vt:lpstr>irr_summary</vt:lpstr>
      <vt:lpstr>l1_cost_retained</vt:lpstr>
      <vt:lpstr>l1_cost_summary</vt:lpstr>
      <vt:lpstr>l1_reclaim</vt:lpstr>
      <vt:lpstr>l2_cost</vt:lpstr>
      <vt:lpstr>l2_cost_summary</vt:lpstr>
      <vt:lpstr>l3_cost</vt:lpstr>
      <vt:lpstr>l3_cost_summary</vt:lpstr>
      <vt:lpstr>ladder_redeem</vt:lpstr>
      <vt:lpstr>ladder_unit</vt:lpstr>
      <vt:lpstr>layer1_cost</vt:lpstr>
      <vt:lpstr>mix_dining</vt:lpstr>
      <vt:lpstr>mix_intl</vt:lpstr>
      <vt:lpstr>mix_other</vt:lpstr>
      <vt:lpstr>mix_travel</vt:lpstr>
      <vt:lpstr>mr_cpp</vt:lpstr>
      <vt:lpstr>mr_multiplier</vt:lpstr>
      <vt:lpstr>mult_base</vt:lpstr>
      <vt:lpstr>mult_summary</vt:lpstr>
      <vt:lpstr>new_benefit_cost</vt:lpstr>
      <vt:lpstr>new_benefit_face</vt:lpstr>
      <vt:lpstr>new_card_pct</vt:lpstr>
      <vt:lpstr>npv_base</vt:lpstr>
      <vt:lpstr>npv_summary</vt:lpstr>
      <vt:lpstr>payback_base</vt:lpstr>
      <vt:lpstr>payback_summary</vt:lpstr>
      <vt:lpstr>redemption_rate</vt:lpstr>
      <vt:lpstr>risk_premium</vt:lpstr>
      <vt:lpstr>scen_acq_uplift</vt:lpstr>
      <vt:lpstr>scen_attrition</vt:lpstr>
      <vt:lpstr>scen_benefit_cost</vt:lpstr>
      <vt:lpstr>scen_contrib_delta</vt:lpstr>
      <vt:lpstr>scen_contrib_percard</vt:lpstr>
      <vt:lpstr>scen_contrib_pre</vt:lpstr>
      <vt:lpstr>scen_fee_acceptance</vt:lpstr>
      <vt:lpstr>scen_spend_uplift</vt:lpstr>
      <vt:lpstr>scenario</vt:lpstr>
      <vt:lpstr>spend_base</vt:lpstr>
      <vt:lpstr>spend_blended</vt:lpstr>
      <vt:lpstr>util_baseline</vt:lpstr>
      <vt:lpstr>wacc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Vansh Bhandari</cp:lastModifiedBy>
  <cp:revision>0</cp:revision>
  <dcterms:created xsi:type="dcterms:W3CDTF">2026-08-15T08:13:51Z</dcterms:created>
  <dcterms:modified xsi:type="dcterms:W3CDTF">2026-09-16T09:51:00Z</dcterms:modified>
  <dc:language>en-US</dc:language>
</cp:coreProperties>
</file>